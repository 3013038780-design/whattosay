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09778a0b594b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a7ffc97b98e942ea"/>
    <x:sheet xmlns:r="http://schemas.openxmlformats.org/officeDocument/2006/relationships" name="全部文案" sheetId="2" r:id="R26214c0fcaed48b0"/>
    <x:sheet xmlns:r="http://schemas.openxmlformats.org/officeDocument/2006/relationships" name="出处索引" sheetId="3" r:id="Re7f340958dc74f68"/>
    <x:sheet xmlns:r="http://schemas.openxmlformats.org/officeDocument/2006/relationships" name="时令开场" sheetId="4" r:id="Rf5ba320f7a8740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5">
    <x:font>
      <x:sz val="11"/>
      <x:name val="Carlito"/>
    </x:font>
    <x:font>
      <x:sz val="11"/>
      <x:color rgb="FF24352E"/>
      <x:name val="Helvetica"/>
    </x:font>
    <x:font>
      <x:b/>
      <x:sz val="11"/>
      <x:color rgb="FFFFFFFF"/>
      <x:name val="Helvetica"/>
    </x:font>
    <x:font>
      <x:b/>
      <x:sz val="16"/>
      <x:color rgb="FF000000"/>
      <x:name val="Helvetica"/>
    </x:font>
    <x:font>
      <x:b/>
      <x:sz val="11"/>
      <x:color rgb="FF24352E"/>
      <x:name val="Helvetica"/>
    </x:font>
  </x:fonts>
  <x:fills count="6">
    <x:fill>
      <x:patternFill patternType="none"/>
    </x:fill>
    <x:fill>
      <x:patternFill patternType="gray125"/>
    </x:fill>
    <x:fill>
      <x:patternFill patternType="solid">
        <x:fgColor rgb="FF263B32"/>
      </x:patternFill>
    </x:fill>
    <x:fill>
      <x:patternFill patternType="solid">
        <x:fgColor rgb="FFF2F4EF"/>
      </x:patternFill>
    </x:fill>
    <x:fill>
      <x:patternFill patternType="solid">
        <x:fgColor rgb="FFFFFFFF"/>
      </x:patternFill>
    </x:fill>
    <x:fill>
      <x:patternFill patternType="solid">
        <x:fgColor rgb="FFFFF8E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  <x:dxfs count="2">
    <x:dxf>
      <x:font>
        <x:color rgb="FF805B22"/>
      </x:font>
      <x:fill>
        <x:patternFill patternType="solid">
          <x:bgColor rgb="FFF9EDD5"/>
        </x:patternFill>
      </x:fill>
    </x:dxf>
    <x:dxf>
      <x:font>
        <x:color rgb="FF666666"/>
      </x:font>
      <x:fill>
        <x:patternFill patternType="solid">
          <x:bgColor rgb="FFEFEF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bcc087ea4c43d9" /><Relationship Type="http://schemas.openxmlformats.org/officeDocument/2006/relationships/theme" Target="/xl/theme/theme1.xml" Id="Re4bceea03e424090" /><Relationship Type="http://schemas.openxmlformats.org/officeDocument/2006/relationships/sharedStrings" Target="/xl/sharedStrings.xml" Id="Rcb30903069214ab8" /><Relationship Type="http://schemas.openxmlformats.org/officeDocument/2006/relationships/worksheet" Target="/xl/worksheets/sheet1.xml" Id="Ra7ffc97b98e942ea" /><Relationship Type="http://schemas.openxmlformats.org/officeDocument/2006/relationships/worksheet" Target="/xl/worksheets/sheet2.xml" Id="R26214c0fcaed48b0" /><Relationship Type="http://schemas.openxmlformats.org/officeDocument/2006/relationships/worksheet" Target="/xl/worksheets/sheet3.xml" Id="Re7f340958dc74f68" /><Relationship Type="http://schemas.openxmlformats.org/officeDocument/2006/relationships/worksheet" Target="/xl/worksheets/sheet4.xml" Id="Rf5ba320f7a874063" /></Relationships>
</file>

<file path=xl/tables/table1.xml><?xml version="1.0" encoding="utf-8"?>
<x:table xmlns:x="http://schemas.openxmlformats.org/spreadsheetml/2006/main" id="1" name="AllToasts" displayName="AllToasts" ref="A1:AA455" headerRowCount="1" totalsRowCount="0" totalsRowShown="0">
  <x:autoFilter ref="A1:AA455"/>
  <x:tableColumns count="27">
    <x:tableColumn id="1" name="文案编号"/>
    <x:tableColumn id="2" name="版本"/>
    <x:tableColumn id="3" name="状态"/>
    <x:tableColumn id="4" name="场景"/>
    <x:tableColumn id="5" name="对象"/>
    <x:tableColumn id="6" name="标题"/>
    <x:tableColumn id="7" name="一句版 实际正文"/>
    <x:tableColumn id="8" name="短段版 实际正文"/>
    <x:tableColumn id="9" name="英文正文"/>
    <x:tableColumn id="10" name="中文释义"/>
    <x:tableColumn id="11" name="出处编号"/>
    <x:tableColumn id="12" name="篇名或方法名称"/>
    <x:tableColumn id="13" name="原句"/>
    <x:tableColumn id="14" name="怎么说 提示"/>
    <x:tableColumn id="15" name="意境"/>
    <x:tableColumn id="16" name="适用季节"/>
    <x:tableColumn id="17" name="限定节日"/>
    <x:tableColumn id="18" name="整理类别"/>
    <x:tableColumn id="19" name="原始风格"/>
    <x:tableColumn id="20" name="以茶代酒补句"/>
    <x:tableColumn id="21" name="英文茶代酒补句"/>
    <x:tableColumn id="22" name="一句版原稿"/>
    <x:tableColumn id="23" name="短段版原稿"/>
    <x:tableColumn id="24" name="表达编排"/>
    <x:tableColumn id="25" name="内部主题标签"/>
    <x:tableColumn id="26" name="备查原因"/>
    <x:tableColumn id="27" name="我的审阅意见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AllSources" displayName="AllSources" ref="A1:N146" headerRowCount="1" totalsRowCount="0" totalsRowShown="0">
  <x:autoFilter ref="A1:N146"/>
  <x:tableColumns count="14">
    <x:tableColumn id="1" name="出处编号"/>
    <x:tableColumn id="2" name="作者篇名或方法名称"/>
    <x:tableColumn id="3" name="体裁标记"/>
    <x:tableColumn id="4" name="书目或资料来源"/>
    <x:tableColumn id="5" name="页码或定位"/>
    <x:tableColumn id="6" name="记录原句"/>
    <x:tableColumn id="7" name="引句列表"/>
    <x:tableColumn id="8" name="原意说明"/>
    <x:tableColumn id="9" name="核对及整理说明"/>
    <x:tableColumn id="10" name="原作或资料链接"/>
    <x:tableColumn id="11" name="关联文案版本数"/>
    <x:tableColumn id="12" name="原作全文或完整条目"/>
    <x:tableColumn id="13" name="全文范围"/>
    <x:tableColumn id="14" name="全文核对说明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CalendarTexts" displayName="CalendarTexts" ref="A1:F64" headerRowCount="1" totalsRowCount="0" totalsRowShown="0">
  <x:autoFilter ref="A1:F64"/>
  <x:tableColumns count="6">
    <x:tableColumn id="1" name="类别"/>
    <x:tableColumn id="2" name="日期或名称"/>
    <x:tableColumn id="3" name="祝愿主题"/>
    <x:tableColumn id="4" name="中文开场全文"/>
    <x:tableColumn id="5" name="英文开场全文"/>
    <x:tableColumn id="6" name="适用说明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dfe61b68214f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99a5a3423d48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6916988ba249bf" /></Relationships>
</file>

<file path=xl/worksheets/sheet1.xml><?xml version="1.0" encoding="utf-8"?>
<x:worksheet xmlns:x="http://schemas.openxmlformats.org/spreadsheetml/2006/main">
  <x:sheetPr>
    <x:tabColor rgb="FF263B32"/>
  </x:sheetPr>
  <x:sheetViews>
    <x:sheetView showGridLines="0" workbookViewId="0"/>
  </x:sheetViews>
  <x:sheetFormatPr defaultRowHeight="15"/>
  <x:cols>
    <x:col min="1" max="1" width="26" hidden="0" customWidth="1"/>
    <x:col min="2" max="2" width="31" hidden="0" customWidth="1"/>
    <x:col min="3" max="3" width="4" hidden="0" customWidth="1"/>
    <x:col min="4" max="4" width="23" hidden="0" customWidth="1"/>
    <x:col min="5" max="5" width="83" hidden="0" customWidth="1"/>
    <x:col min="6" max="6" width="8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13" t="str">
        <x:v>轮到我了 完整素材库</x:v>
      </x:c>
      <x:c r="B2" s="1"/>
      <x:c r="C2" s="1"/>
      <x:c r="D2" s="1"/>
      <x:c r="E2" s="1"/>
      <x:c r="F2" s="1"/>
    </x:row>
    <x:row r="3">
      <x:c r="A3" s="1" t="str">
        <x:v>导出版本 0.4.0</x:v>
      </x:c>
      <x:c r="B3" s="1"/>
      <x:c r="C3" s="1"/>
      <x:c r="D3" s="1" t="str">
        <x:v>导出日期</x:v>
      </x:c>
      <x:c r="E3" s="1" t="str">
        <x:v>2026年10月29日</x:v>
      </x:c>
      <x:c r="F3" s="1"/>
    </x:row>
    <x:row r="4">
      <x:c r="A4" s="1"/>
      <x:c r="B4" s="1"/>
      <x:c r="C4" s="1"/>
      <x:c r="D4" s="1"/>
      <x:c r="E4" s="1"/>
      <x:c r="F4" s="1"/>
    </x:row>
    <x:row r="5" ht="28" customHeight="1">
      <x:c r="A5" s="17" t="str">
        <x:v>内容范围</x:v>
      </x:c>
      <x:c r="B5" s="17" t="str">
        <x:v>数量</x:v>
      </x:c>
      <x:c r="C5" s="1"/>
      <x:c r="D5" s="17" t="str">
        <x:v>阅读提示</x:v>
      </x:c>
      <x:c r="E5" s="17" t="str">
        <x:v>说明</x:v>
      </x:c>
      <x:c r="F5" s="1"/>
    </x:row>
    <x:row r="6" ht="56" customHeight="1">
      <x:c r="A6" s="1" t="str">
        <x:v>全部文案版本</x:v>
      </x:c>
      <x:c r="B6" s="14" t="n">
        <x:f>COUNTA('全部文案'!A2:A455)</x:f>
        <x:v>454</x:v>
      </x:c>
      <x:c r="C6" s="1"/>
      <x:c r="D6" s="15" t="str">
        <x:v>全部文案</x:v>
      </x:c>
      <x:c r="E6" s="15" t="str">
        <x:v>454条逐条导出，保留现用、熟句备查和历史版本。按场景、对象、状态等表头筛选。</x:v>
      </x:c>
      <x:c r="F6" s="1"/>
    </x:row>
    <x:row r="7" ht="56" customHeight="1">
      <x:c r="A7" s="1" t="str">
        <x:v>当前推荐</x:v>
      </x:c>
      <x:c r="B7" s="14" t="n">
        <x:f>COUNTIFS('全部文案'!C2:C455,"当前推荐")</x:f>
        <x:v>420</x:v>
      </x:c>
      <x:c r="C7" s="1"/>
      <x:c r="D7" s="15" t="str">
        <x:v>真实正文</x:v>
      </x:c>
      <x:c r="E7" s="15" t="str">
        <x:v>一句版和短段版为不加时令、不启用茶代酒时的实际正文；同时保留原始正文。</x:v>
      </x:c>
      <x:c r="F7" s="1"/>
    </x:row>
    <x:row r="8" ht="56" customHeight="1">
      <x:c r="A8" s="1" t="str">
        <x:v>熟句备查</x:v>
      </x:c>
      <x:c r="B8" s="14" t="n">
        <x:f>COUNTIFS('全部文案'!C2:C455,"熟句备查")</x:f>
        <x:v>30</x:v>
      </x:c>
      <x:c r="C8" s="1"/>
      <x:c r="D8" s="15" t="str">
        <x:v>来源定位</x:v>
      </x:c>
      <x:c r="E8" s="15" t="str">
        <x:v>每条文案附出处编号；到出处索引查完整原作、原意、书目页码与核对说明。长篇内容保留在单元格中，可展开阅读。</x:v>
      </x:c>
      <x:c r="F8" s="1"/>
    </x:row>
    <x:row r="9" ht="56" customHeight="1">
      <x:c r="A9" s="1" t="str">
        <x:v>历史版本</x:v>
      </x:c>
      <x:c r="B9" s="14" t="n">
        <x:f>COUNTIFS('全部文案'!C2:C455,"历史版本")</x:f>
        <x:v>4</x:v>
      </x:c>
      <x:c r="C9" s="1"/>
      <x:c r="D9" s="15" t="str">
        <x:v>完整范围</x:v>
      </x:c>
      <x:c r="E9" s="15" t="str">
        <x:v>包含英文、中文释义、茶代酒补句、意境／季节／节日限制。未穷举日期与开场的所有拼接组合。</x:v>
      </x:c>
      <x:c r="F9" s="1"/>
    </x:row>
    <x:row r="10" ht="56" customHeight="1">
      <x:c r="A10" s="1" t="str">
        <x:v>出处及方法记录</x:v>
      </x:c>
      <x:c r="B10" s="14" t="n">
        <x:f>COUNTA('出处索引'!A2:A146)</x:f>
        <x:v>145</x:v>
      </x:c>
      <x:c r="C10" s="1"/>
      <x:c r="D10" s="15" t="str">
        <x:v>审阅批注</x:v>
      </x:c>
      <x:c r="E10" s="15" t="str">
        <x:v>全部文案最右侧“我的审阅意见”为空白可填写列。排序时连整行一起操作，保留编号与版本。</x:v>
      </x:c>
      <x:c r="F10" s="1"/>
    </x:row>
    <x:row r="11" ht="56" customHeight="1">
      <x:c r="A11" s="1" t="str">
        <x:v>中英文时令模板</x:v>
      </x:c>
      <x:c r="B11" s="14" t="n">
        <x:f>COUNTA('时令开场'!A2:A64)</x:f>
        <x:v>63</x:v>
      </x:c>
      <x:c r="C11" s="1"/>
      <x:c r="D11" s="15" t="str">
        <x:v>历史记录</x:v>
      </x:c>
      <x:c r="E11" s="15" t="str">
        <x:v>备查与历史稿不参与当前随机推荐；为旧分享和收藏恢复而保留，不能把它们算成现用推荐。</x:v>
      </x:c>
      <x:c r="F11" s="1"/>
    </x:row>
    <x:row r="12">
      <x:c r="A12" s="1"/>
      <x:c r="B12" s="1"/>
      <x:c r="C12" s="1"/>
      <x:c r="D12" s="1"/>
      <x:c r="E12" s="1"/>
      <x:c r="F12" s="1"/>
    </x:row>
    <x:row r="13">
      <x:c r="A13" s="1"/>
      <x:c r="B13" s="1"/>
      <x:c r="C13" s="1"/>
      <x:c r="D13" s="1"/>
      <x:c r="E13" s="1"/>
      <x:c r="F13" s="1"/>
    </x:row>
    <x:row r="14" ht="28" customHeight="1">
      <x:c r="A14" s="17" t="str">
        <x:v>文章真实案例</x:v>
      </x:c>
      <x:c r="B14" s="17" t="str">
        <x:v>文案编号</x:v>
      </x:c>
      <x:c r="C14" s="1"/>
      <x:c r="D14" s="17" t="str">
        <x:v>产品怎么用</x:v>
      </x:c>
      <x:c r="E14" s="17" t="str">
        <x:v>当前功能</x:v>
      </x:c>
      <x:c r="F14" s="1"/>
    </x:row>
    <x:row r="15" ht="54" customHeight="1">
      <x:c r="A15" s="1" t="str">
        <x:v>白居易 邀友</x:v>
      </x:c>
      <x:c r="B15" s="1" t="str">
        <x:v>verse-bai-invite</x:v>
      </x:c>
      <x:c r="C15" s="1"/>
      <x:c r="D15" s="15" t="str">
        <x:v>场景与对象</x:v>
      </x:c>
      <x:c r="E15" s="15" t="str">
        <x:v>11类场景；职场、家宴、致谢分别提供特定对象选择。</x:v>
      </x:c>
      <x:c r="F15" s="1"/>
    </x:row>
    <x:row r="16" ht="54" customHeight="1">
      <x:c r="A16" s="1" t="str">
        <x:v>苏轼 敬领导</x:v>
      </x:c>
      <x:c r="B16" s="1" t="str">
        <x:v>verse-su-breeze</x:v>
      </x:c>
      <x:c r="C16" s="1"/>
      <x:c r="D16" s="15" t="str">
        <x:v>风格与阅读</x:v>
      </x:c>
      <x:c r="E16" s="15" t="str">
        <x:v>随场挑、顺口祝愿、诗词雅意、诙谐妙语、English；一句版、短段版、大字读、以茶代酒。</x:v>
      </x:c>
      <x:c r="F16" s="1"/>
    </x:row>
    <x:row r="17" ht="54" customHeight="1">
      <x:c r="A17" s="1" t="str">
        <x:v>李白 敬长辈</x:v>
      </x:c>
      <x:c r="B17" s="1" t="str">
        <x:v>verse-li-followmoon</x:v>
      </x:c>
      <x:c r="C17" s="1"/>
      <x:c r="D17" s="15" t="str">
        <x:v>时令与意境</x:v>
      </x:c>
      <x:c r="E17" s="15" t="str">
        <x:v>1—31号、四季、24节气；春节、元宵、中秋、重阳识别。中秋和重阳有专用稿。</x:v>
      </x:c>
      <x:c r="F17" s="1"/>
    </x:row>
    <x:row r="18" ht="54" customHeight="1">
      <x:c r="A18" s="1" t="str">
        <x:v>王维 谢主人</x:v>
      </x:c>
      <x:c r="B18" s="1" t="str">
        <x:v>verse-wang-welcome</x:v>
      </x:c>
      <x:c r="C18" s="1"/>
      <x:c r="D18" s="15" t="str">
        <x:v>收藏与复制</x:v>
      </x:c>
      <x:c r="E18" s="15" t="str">
        <x:v>本机最多100条收藏、200张个人小笺；支持改写、自定义场景与对象。</x:v>
      </x:c>
      <x:c r="F18" s="1"/>
    </x:row>
    <x:row r="19" ht="54" customHeight="1">
      <x:c r="A19" s="1" t="str">
        <x:v>黄庭坚 老朋友</x:v>
      </x:c>
      <x:c r="B19" s="1" t="str">
        <x:v>verse-huang-friend</x:v>
      </x:c>
      <x:c r="C19" s="1"/>
      <x:c r="D19" s="15" t="str">
        <x:v>微信分享</x:v>
      </x:c>
      <x:c r="E19" s="15" t="str">
        <x:v>已实现带文案ID、版本与选项的分享及恢复；双账号实测与公众发布状态未确认。</x:v>
      </x:c>
      <x:c r="F19" s="1"/>
    </x:row>
    <x:row r="20" ht="54" customHeight="1">
      <x:c r="A20" s="1" t="str">
        <x:v>幽默开口</x:v>
      </x:c>
      <x:c r="B20" s="1" t="str">
        <x:v>general-03</x:v>
      </x:c>
      <x:c r="C20" s="1"/>
      <x:c r="D20" s="15" t="str">
        <x:v>当前实现</x:v>
      </x:c>
      <x:c r="E20" s="15" t="str">
        <x:v>本地文案库、规则筛选和近期去重；运行时不调用大模型，不要求注册。</x:v>
      </x:c>
      <x:c r="F20" s="1"/>
    </x:row>
    <x:row r="21">
      <x:c r="A21" s="1"/>
      <x:c r="B21" s="1"/>
      <x:c r="C21" s="1"/>
      <x:c r="D21" s="1"/>
      <x:c r="E21" s="1"/>
      <x:c r="F21" s="1"/>
    </x:row>
    <x:row r="22">
      <x:c r="A22" s="1"/>
      <x:c r="B22" s="1"/>
      <x:c r="C22" s="1"/>
      <x:c r="D22" s="1"/>
      <x:c r="E22" s="1"/>
      <x:c r="F22" s="1"/>
    </x:row>
    <x:row r="23" ht="46" customHeight="1">
      <x:c r="A23" s="18" t="str">
        <x:v>仓库与原始数据</x:v>
      </x:c>
      <x:c r="B23" s="1"/>
      <x:c r="C23" s="1"/>
      <x:c r="D23" s="2" t="str">
        <x:v>仓库</x:v>
      </x:c>
      <x:c r="E23" s="2" t="str">
        <x:v>https://github.com/3013038780-design/whattosay</x:v>
      </x:c>
      <x:c r="F23" s="1"/>
    </x:row>
    <x:row r="24" ht="46" customHeight="1">
      <x:c r="A24" s="1"/>
      <x:c r="B24" s="1"/>
      <x:c r="C24" s="1"/>
      <x:c r="D24" s="2" t="str">
        <x:v>数据位置</x:v>
      </x:c>
      <x:c r="E24" s="2" t="str">
        <x:v>src/data/toasts.ts、spoken.ts、cultural.ts、poetry-expanded.ts、sources.ts、sources-expanded.ts、reading-batch.ts、calendar-copy.ts</x:v>
      </x:c>
      <x:c r="F24" s="1"/>
    </x:row>
    <x:row r="25" ht="46" customHeight="1">
      <x:c r="A25" s="1"/>
      <x:c r="B25" s="1"/>
      <x:c r="C25" s="1"/>
      <x:c r="D25" s="2" t="str">
        <x:v>数据校验 SHA256</x:v>
      </x:c>
      <x:c r="E25" s="2" t="str">
        <x:v>63e0bee41d286dc7441fa5286a2057264a00e22b732429360ff41504af86b031</x:v>
      </x:c>
      <x:c r="F25" s="1"/>
    </x:row>
    <x:row r="26">
      <x:c r="A26" s="1"/>
      <x:c r="B26" s="1"/>
      <x:c r="C26" s="1"/>
      <x:c r="D26" s="1"/>
      <x:c r="E26" s="1"/>
      <x:c r="F26" s="1"/>
    </x:row>
    <x:row r="27" ht="46" customHeight="1">
      <x:c r="A27" s="1"/>
      <x:c r="B27" s="1"/>
      <x:c r="C27" s="1"/>
      <x:c r="D27" s="2" t="str">
        <x:v>状态说明</x:v>
      </x:c>
      <x:c r="E27" s="2" t="str">
        <x:v>0.4.0为新增素材及个人编辑试用版；尚未提交公众审核。本次选核80篇原作及条目，不代表三本书已逐页通读。</x:v>
      </x:c>
      <x:c r="F27" s="1"/>
    </x:row>
    <x:row r="28">
      <x:c r="A28" s="1"/>
      <x:c r="B28" s="1"/>
      <x:c r="C28" s="1"/>
      <x:c r="D28" s="1"/>
      <x:c r="E28" s="1"/>
      <x:c r="F28" s="1"/>
    </x:row>
    <x:row r="29">
      <x:c r="A29" s="1"/>
      <x:c r="B29" s="1"/>
      <x:c r="C29" s="1"/>
      <x:c r="D29" s="1"/>
      <x:c r="E29" s="1"/>
      <x:c r="F29" s="1"/>
    </x:row>
    <x:row r="30">
      <x:c r="A30" s="1"/>
      <x:c r="B30" s="1"/>
      <x:c r="C30" s="1"/>
      <x:c r="D30" s="1"/>
      <x:c r="E30" s="1"/>
      <x:c r="F30" s="1"/>
    </x:row>
    <x:row r="31">
      <x:c r="A31" s="1"/>
      <x:c r="B31" s="1"/>
      <x:c r="C31" s="1"/>
      <x:c r="D31" s="1"/>
      <x:c r="E31" s="1"/>
      <x:c r="F31" s="1"/>
    </x:row>
    <x:row r="32">
      <x:c r="A32" s="1"/>
      <x:c r="B32" s="1"/>
      <x:c r="C32" s="1"/>
      <x:c r="D32" s="1"/>
      <x:c r="E32" s="1"/>
      <x:c r="F32" s="1"/>
    </x:row>
    <x:row r="33">
      <x:c r="A33" s="1"/>
      <x:c r="B33" s="1"/>
      <x:c r="C33" s="1"/>
      <x:c r="D33" s="1"/>
      <x:c r="E33" s="1"/>
      <x:c r="F33" s="1"/>
    </x:row>
    <x:row r="34">
      <x:c r="A34" s="1"/>
      <x:c r="B34" s="1"/>
      <x:c r="C34" s="1"/>
      <x:c r="D34" s="1"/>
      <x:c r="E34" s="1"/>
      <x:c r="F34" s="1"/>
    </x:row>
    <x:row r="35">
      <x:c r="A35" s="1"/>
      <x:c r="B35" s="1"/>
      <x:c r="C35" s="1"/>
      <x:c r="D35" s="1"/>
      <x:c r="E35" s="1"/>
      <x:c r="F3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9" hidden="0" customWidth="1"/>
    <x:col min="2" max="2" width="7" hidden="0" customWidth="1"/>
    <x:col min="3" max="3" width="14" hidden="0" customWidth="1"/>
    <x:col min="4" max="4" width="16" hidden="0" customWidth="1"/>
    <x:col min="5" max="5" width="12" hidden="0" customWidth="1"/>
    <x:col min="6" max="6" width="28" hidden="0" customWidth="1"/>
    <x:col min="7" max="7" width="58" hidden="0" customWidth="1"/>
    <x:col min="8" max="8" width="78" hidden="0" customWidth="1"/>
    <x:col min="9" max="9" width="70" hidden="0" customWidth="1"/>
    <x:col min="10" max="10" width="48" hidden="0" customWidth="1"/>
    <x:col min="11" max="11" width="25" hidden="0" customWidth="1"/>
    <x:col min="12" max="12" width="44" hidden="0" customWidth="1"/>
    <x:col min="13" max="13" width="58" hidden="0" customWidth="1"/>
    <x:col min="14" max="14" width="58" hidden="0" customWidth="1"/>
    <x:col min="15" max="15" width="24" hidden="0" customWidth="1"/>
    <x:col min="16" max="16" width="16" hidden="0" customWidth="1"/>
    <x:col min="17" max="17" width="18" hidden="0" customWidth="1"/>
    <x:col min="18" max="18" width="23" hidden="0" customWidth="1"/>
    <x:col min="19" max="19" width="14" hidden="0" customWidth="1"/>
    <x:col min="20" max="20" width="38" hidden="0" customWidth="1"/>
    <x:col min="21" max="21" width="68" hidden="0" customWidth="1"/>
    <x:col min="22" max="22" width="58" hidden="0" customWidth="1"/>
    <x:col min="23" max="23" width="78" hidden="0" customWidth="1"/>
    <x:col min="24" max="24" width="18" hidden="0" customWidth="1"/>
    <x:col min="25" max="25" width="22" hidden="0" customWidth="1"/>
    <x:col min="26" max="26" width="18" hidden="0" customWidth="1"/>
    <x:col min="27" max="27" width="50" hidden="0" customWidth="1"/>
  </x:cols>
  <x:sheetData>
    <x:row r="1" ht="38" customHeight="1">
      <x:c r="A1" s="7" t="str">
        <x:v>文案编号</x:v>
      </x:c>
      <x:c r="B1" s="7" t="str">
        <x:v>版本</x:v>
      </x:c>
      <x:c r="C1" s="7" t="str">
        <x:v>状态</x:v>
      </x:c>
      <x:c r="D1" s="7" t="str">
        <x:v>场景</x:v>
      </x:c>
      <x:c r="E1" s="7" t="str">
        <x:v>对象</x:v>
      </x:c>
      <x:c r="F1" s="7" t="str">
        <x:v>标题</x:v>
      </x:c>
      <x:c r="G1" s="7" t="str">
        <x:v>一句版 实际正文</x:v>
      </x:c>
      <x:c r="H1" s="7" t="str">
        <x:v>短段版 实际正文</x:v>
      </x:c>
      <x:c r="I1" s="7" t="str">
        <x:v>英文正文</x:v>
      </x:c>
      <x:c r="J1" s="7" t="str">
        <x:v>中文释义</x:v>
      </x:c>
      <x:c r="K1" s="7" t="str">
        <x:v>出处编号</x:v>
      </x:c>
      <x:c r="L1" s="7" t="str">
        <x:v>篇名或方法名称</x:v>
      </x:c>
      <x:c r="M1" s="7" t="str">
        <x:v>原句</x:v>
      </x:c>
      <x:c r="N1" s="7" t="str">
        <x:v>怎么说 提示</x:v>
      </x:c>
      <x:c r="O1" s="7" t="str">
        <x:v>意境</x:v>
      </x:c>
      <x:c r="P1" s="7" t="str">
        <x:v>适用季节</x:v>
      </x:c>
      <x:c r="Q1" s="7" t="str">
        <x:v>限定节日</x:v>
      </x:c>
      <x:c r="R1" s="7" t="str">
        <x:v>整理类别</x:v>
      </x:c>
      <x:c r="S1" s="7" t="str">
        <x:v>原始风格</x:v>
      </x:c>
      <x:c r="T1" s="7" t="str">
        <x:v>以茶代酒补句</x:v>
      </x:c>
      <x:c r="U1" s="7" t="str">
        <x:v>英文茶代酒补句</x:v>
      </x:c>
      <x:c r="V1" s="7" t="str">
        <x:v>一句版原稿</x:v>
      </x:c>
      <x:c r="W1" s="7" t="str">
        <x:v>短段版原稿</x:v>
      </x:c>
      <x:c r="X1" s="7" t="str">
        <x:v>表达编排</x:v>
      </x:c>
      <x:c r="Y1" s="7" t="str">
        <x:v>内部主题标签</x:v>
      </x:c>
      <x:c r="Z1" s="7" t="str">
        <x:v>备查原因</x:v>
      </x:c>
      <x:c r="AA1" s="7" t="str">
        <x:v>我的审阅意见</x:v>
      </x:c>
    </x:row>
    <x:row r="2" ht="57" customHeight="1">
      <x:c r="A2" s="8" t="str">
        <x:v>closing-01</x:v>
      </x:c>
      <x:c r="B2" s="10" t="n">
        <x:v>1</x:v>
      </x:c>
      <x:c r="C2" s="8" t="str">
        <x:v>当前推荐</x:v>
      </x:c>
      <x:c r="D2" s="8" t="str">
        <x:v>收个尾</x:v>
      </x:c>
      <x:c r="E2" s="8" t="str">
        <x:v>全桌</x:v>
      </x:c>
      <x:c r="F2" s="8" t="str">
        <x:v>话有尽，意有余</x:v>
      </x:c>
      <x:c r="G2" s="8" t="str">
        <x:v>话有尽，意有余；愿今日相聚有欢，来日往来有情。
借这一杯，敬大家。</x:v>
      </x:c>
      <x:c r="H2" s="8" t="str">
        <x:v>好话不必说尽，心意留在杯中。今天这一席，愿大家尽兴，也愿往后的日子顺遂安稳。话有尽，意有余；把欢喜留给今天，把好音留给来日。
借这一杯，敬大家。</x:v>
      </x:c>
      <x:c r="I2" s="8" t="str">
        <x:v>May this gathering leave us happy memories and warm wishes for the days ahead.</x:v>
      </x:c>
      <x:c r="J2" s="8" t="str">
        <x:v>愿相聚留下好回忆，也把祝福带向来日。</x:v>
      </x:c>
      <x:c r="K2" s="8" t="str">
        <x:v>rhythm</x:v>
      </x:c>
      <x:c r="L2" s="8" t="str">
        <x:v>把话写给耳朵听</x:v>
      </x:c>
      <x:c r="M2" s="8" t="str"/>
      <x:c r="N2" s="8" t="str">
        <x:v>结束自己的讲话，不代表主人宣布散席。</x:v>
      </x:c>
      <x:c r="O2" s="8" t="str">
        <x:v>未限定</x:v>
      </x:c>
      <x:c r="P2" s="8" t="str">
        <x:v>未限定</x:v>
      </x:c>
      <x:c r="Q2" s="8" t="str">
        <x:v>未限定</x:v>
      </x:c>
      <x:c r="R2" s="8" t="str">
        <x:v>依据表达方法整理</x:v>
      </x:c>
      <x:c r="S2" s="8" t="str">
        <x:v>雅致</x:v>
      </x:c>
      <x:c r="T2" s="8" t="str"/>
      <x:c r="U2" s="8" t="str"/>
      <x:c r="V2" s="8" t="str">
        <x:v>话有尽，意有余；愿今日相聚有欢，来日往来有情。</x:v>
      </x:c>
      <x:c r="W2" s="8" t="str">
        <x:v>好话不必说尽，心意留在杯中。今天这一席，愿大家尽兴，也愿往后的日子顺遂安稳。话有尽，意有余；把欢喜留给今天，把好音留给来日。</x:v>
      </x:c>
      <x:c r="X2" s="8" t="str"/>
      <x:c r="Y2" s="8" t="str"/>
      <x:c r="Z2" s="8" t="str"/>
      <x:c r="AA2" s="12" t="str"/>
    </x:row>
    <x:row r="3" ht="57" customHeight="1">
      <x:c r="A3" s="9" t="str">
        <x:v>closing-02</x:v>
      </x:c>
      <x:c r="B3" s="11" t="n">
        <x:v>1</x:v>
      </x:c>
      <x:c r="C3" s="9" t="str">
        <x:v>当前推荐</x:v>
      </x:c>
      <x:c r="D3" s="9" t="str">
        <x:v>收个尾</x:v>
      </x:c>
      <x:c r="E3" s="9" t="str">
        <x:v>全桌</x:v>
      </x:c>
      <x:c r="F3" s="9" t="str">
        <x:v>祝福留长一点</x:v>
      </x:c>
      <x:c r="G3" s="9" t="str">
        <x:v>我把话收短，把祝福留长；愿大家日日有喜，往后常聚。
借这一杯，敬大家。</x:v>
      </x:c>
      <x:c r="H3" s="9" t="str">
        <x:v>我的话就收到这里，祝福还想留得长一点：愿大家手头的事做得顺，心里的盼慢慢成。今天相聚有欢，往后来往有情；好饭慢慢吃，好日子慢慢过。
借这一杯，敬大家。</x:v>
      </x:c>
      <x:c r="I3" s="9" t="str">
        <x:v>I will keep my words short and my good wishes lasting. Here’s to many good days ahead.</x:v>
      </x:c>
      <x:c r="J3" s="9" t="str">
        <x:v>话说短，祝福留长；祝前路有许多好日子。</x:v>
      </x:c>
      <x:c r="K3" s="9" t="str">
        <x:v>rhythm</x:v>
      </x:c>
      <x:c r="L3" s="9" t="str">
        <x:v>把话写给耳朵听</x:v>
      </x:c>
      <x:c r="M3" s="9" t="str"/>
      <x:c r="N3" s="9" t="str">
        <x:v>适合轻松收尾，不命令别人继续饮酒。</x:v>
      </x:c>
      <x:c r="O3" s="9" t="str">
        <x:v>未限定</x:v>
      </x:c>
      <x:c r="P3" s="9" t="str">
        <x:v>未限定</x:v>
      </x:c>
      <x:c r="Q3" s="9" t="str">
        <x:v>未限定</x:v>
      </x:c>
      <x:c r="R3" s="9" t="str">
        <x:v>依据表达方法整理</x:v>
      </x:c>
      <x:c r="S3" s="9" t="str">
        <x:v>诙谐</x:v>
      </x:c>
      <x:c r="T3" s="9" t="str"/>
      <x:c r="U3" s="9" t="str"/>
      <x:c r="V3" s="9" t="str">
        <x:v>我把话收短，把祝福留长；愿大家日日有喜，往后常聚。</x:v>
      </x:c>
      <x:c r="W3" s="9" t="str">
        <x:v>我的话就收到这里，祝福还想留得长一点：愿大家手头的事做得顺，心里的盼慢慢成。今天相聚有欢，往后来往有情；好饭慢慢吃，好日子慢慢过。</x:v>
      </x:c>
      <x:c r="X3" s="9" t="str"/>
      <x:c r="Y3" s="9" t="str"/>
      <x:c r="Z3" s="9" t="str"/>
      <x:c r="AA3" s="12" t="str"/>
    </x:row>
    <x:row r="4" ht="57" customHeight="1">
      <x:c r="A4" s="8" t="str">
        <x:v>closing-verse-01</x:v>
      </x:c>
      <x:c r="B4" s="10" t="n">
        <x:v>1</x:v>
      </x:c>
      <x:c r="C4" s="8" t="str">
        <x:v>当前推荐</x:v>
      </x:c>
      <x:c r="D4" s="8" t="str">
        <x:v>收个尾</x:v>
      </x:c>
      <x:c r="E4" s="8" t="str">
        <x:v>全桌</x:v>
      </x:c>
      <x:c r="F4" s="8" t="str">
        <x:v>畅叙有余，来日可期</x:v>
      </x:c>
      <x:c r="G4" s="8" t="str">
        <x:v>古人“一觞一咏”，畅叙幽情；我把话收到这里，把祝福留给来日。
借这一杯，敬大家。</x:v>
      </x:c>
      <x:c r="H4" s="8" t="str">
        <x:v>古人“一觞一咏”，便能畅叙心意。今天这一席，我把话收到这里，把祝福留给来日：愿各自的生活有好音，彼此的来往有余温；此刻尽兴，往后常聚。
借这一杯，敬大家。</x:v>
      </x:c>
      <x:c r="I4" s="8" t="str">
        <x:v>To the stories we have shared and the good days still to come.</x:v>
      </x:c>
      <x:c r="J4" s="8" t="str">
        <x:v>敬此刻分享的故事，也祝来日美好。</x:v>
      </x:c>
      <x:c r="K4" s="8" t="str">
        <x:v>lanting</x:v>
      </x:c>
      <x:c r="L4" s="8" t="str">
        <x:v>王羲之《兰亭集序》</x:v>
      </x:c>
      <x:c r="M4" s="8" t="str">
        <x:v>一觞一咏，亦足以畅叙幽情。</x:v>
      </x:c>
      <x:c r="N4" s="8" t="str">
        <x:v>只结束自己的致辞，不代表全桌结束宴席。</x:v>
      </x:c>
      <x:c r="O4" s="8" t="str">
        <x:v>未限定</x:v>
      </x:c>
      <x:c r="P4" s="8" t="str">
        <x:v>未限定</x:v>
      </x:c>
      <x:c r="Q4" s="8" t="str">
        <x:v>未限定</x:v>
      </x:c>
      <x:c r="R4" s="8" t="str">
        <x:v>引句后整理</x:v>
      </x:c>
      <x:c r="S4" s="8" t="str">
        <x:v>雅致</x:v>
      </x:c>
      <x:c r="T4" s="8" t="str"/>
      <x:c r="U4" s="8" t="str"/>
      <x:c r="V4" s="8" t="str">
        <x:v>古人“一觞一咏”，畅叙幽情；我把话收到这里，把祝福留给来日。</x:v>
      </x:c>
      <x:c r="W4" s="8" t="str">
        <x:v>古人“一觞一咏”，便能畅叙心意。今天这一席，我把话收到这里，把祝福留给来日：愿各自的生活有好音，彼此的来往有余温；此刻尽兴，往后常聚。</x:v>
      </x:c>
      <x:c r="X4" s="8" t="str"/>
      <x:c r="Y4" s="8" t="str"/>
      <x:c r="Z4" s="8" t="str"/>
      <x:c r="AA4" s="12" t="str"/>
    </x:row>
    <x:row r="5" ht="72" customHeight="1">
      <x:c r="A5" s="9" t="str">
        <x:v>r04-ci-01-2</x:v>
      </x:c>
      <x:c r="B5" s="11" t="n">
        <x:v>1</x:v>
      </x:c>
      <x:c r="C5" s="9" t="str">
        <x:v>当前推荐</x:v>
      </x:c>
      <x:c r="D5" s="9" t="str">
        <x:v>收个尾</x:v>
      </x:c>
      <x:c r="E5" s="9" t="str">
        <x:v>全桌</x:v>
      </x:c>
      <x:c r="F5" s="9" t="str">
        <x:v>把春意留在身边 · 再说一句</x:v>
      </x:c>
      <x:c r="G5" s="9" t="str">
        <x:v>今天先送各位回去，把这席的好心情留着。愿下次相见，又有新鲜事可聊，好时光可续。借诗词中的一句：“若到江南赶上春，千万和春住。”</x:v>
      </x:c>
      <x:c r="H5" s="9" t="str">
        <x:v>今天先送各位回去，把这席的好心情留着。愿下次相见，又有新鲜事可聊，好时光可续。
王观在《卜算子·送鲍浩然之浙东》里写道：“若到江南赶上春，千万和春住。”最后这杯敬大家，归途平安，来日再聚。</x:v>
      </x:c>
      <x:c r="I5" s="9" t="str">
        <x:v>To a good journey, with fresh possibilities and a place to feel at home. Here is to another good day together.</x:v>
      </x:c>
      <x:c r="J5" s="9" t="str">
        <x:v>愿旅途有新机会，也有安心的地方。也盼再有同聚的好日子。</x:v>
      </x:c>
      <x:c r="K5" s="9" t="str">
        <x:v>r04-ci-01</x:v>
      </x:c>
      <x:c r="L5" s="9" t="str">
        <x:v>王观《卜算子·送鲍浩然之浙东》</x:v>
      </x:c>
      <x:c r="M5" s="9" t="str">
        <x:v>若到江南赶上春，千万和春住。</x:v>
      </x:c>
      <x:c r="N5" s="9" t="str">
        <x:v>送别词把江南山水与惜春相连；祝前路有好景，不预设目的地就是江南。</x:v>
      </x:c>
      <x:c r="O5" s="9" t="str">
        <x:v>随席取意</x:v>
      </x:c>
      <x:c r="P5" s="9" t="str">
        <x:v>未限定</x:v>
      </x:c>
      <x:c r="Q5" s="9" t="str">
        <x:v>未限定</x:v>
      </x:c>
      <x:c r="R5" s="9" t="str">
        <x:v>引句后整理</x:v>
      </x:c>
      <x:c r="S5" s="9" t="str">
        <x:v>雅致</x:v>
      </x:c>
      <x:c r="T5" s="9" t="str">
        <x:v>我以茶代酒，心意一样真。</x:v>
      </x:c>
      <x:c r="U5" s="9" t="str">
        <x:v>With tea in my cup and the same warm wishes.</x:v>
      </x:c>
      <x:c r="V5" s="9" t="str">
        <x:v>今天先送各位回去，把这席的好心情留着。愿下次相见，又有新鲜事可聊，好时光可续。借诗词中的一句：“若到江南赶上春，千万和春住。”</x:v>
      </x:c>
      <x:c r="W5" s="9" t="str">
        <x:v>今天先送各位回去，把这席的好心情留着。愿下次相见，又有新鲜事可聊，好时光可续。
王观在《卜算子·送鲍浩然之浙东》里写道：“若到江南赶上春，千万和春住。”最后这杯敬大家，归途平安，来日再聚。</x:v>
      </x:c>
      <x:c r="X5" s="9" t="str">
        <x:v>spoken</x:v>
      </x:c>
      <x:c r="Y5" s="9" t="str">
        <x:v>verse-0</x:v>
      </x:c>
      <x:c r="Z5" s="9" t="str"/>
      <x:c r="AA5" s="12" t="str"/>
    </x:row>
    <x:row r="6" ht="57" customHeight="1">
      <x:c r="A6" s="8" t="str">
        <x:v>r04-ci-05-2</x:v>
      </x:c>
      <x:c r="B6" s="10" t="n">
        <x:v>1</x:v>
      </x:c>
      <x:c r="C6" s="8" t="str">
        <x:v>当前推荐</x:v>
      </x:c>
      <x:c r="D6" s="8" t="str">
        <x:v>收个尾</x:v>
      </x:c>
      <x:c r="E6" s="8" t="str">
        <x:v>全桌</x:v>
      </x:c>
      <x:c r="F6" s="8" t="str">
        <x:v>送行不说尽 · 再说一句</x:v>
      </x:c>
      <x:c r="G6" s="8" t="str">
        <x:v>有些留恋，不必都说尽。最后这杯敬大家，回去一路平安，群里常有消息，下次见面接着聊。借诗词中的一句：“飞絮送行舟，水东流。”</x:v>
      </x:c>
      <x:c r="H6" s="8" t="str">
        <x:v>有些留恋，不必都说尽。最后这杯敬大家，回去一路平安，群里常有消息，下次见面接着聊。
借苏轼的一句：“飞絮送行舟，水东流。”最后这杯敬大家，归途平安，来日再聚。</x:v>
      </x:c>
      <x:c r="I6" s="8" t="str">
        <x:v>To a farewell filled with care, and to hearing from you soon. Here is to another good day together.</x:v>
      </x:c>
      <x:c r="J6" s="8" t="str">
        <x:v>珍重送别，也盼不久再听到你的消息。也盼再有同聚的好日子。</x:v>
      </x:c>
      <x:c r="K6" s="8" t="str">
        <x:v>r04-ci-05</x:v>
      </x:c>
      <x:c r="L6" s="8" t="str">
        <x:v>苏轼《昭君怨·金山送柳子玉》</x:v>
      </x:c>
      <x:c r="M6" s="8" t="str">
        <x:v>飞絮送行舟，水东流。</x:v>
      </x:c>
      <x:c r="N6" s="8" t="str">
        <x:v>借笛声与飞絮写送别，桓伊三弄为用典；不声称今天有笛或行舟。</x:v>
      </x:c>
      <x:c r="O6" s="8" t="str">
        <x:v>随席取意</x:v>
      </x:c>
      <x:c r="P6" s="8" t="str">
        <x:v>未限定</x:v>
      </x:c>
      <x:c r="Q6" s="8" t="str">
        <x:v>未限定</x:v>
      </x:c>
      <x:c r="R6" s="8" t="str">
        <x:v>引句后整理</x:v>
      </x:c>
      <x:c r="S6" s="8" t="str">
        <x:v>雅致</x:v>
      </x:c>
      <x:c r="T6" s="8" t="str">
        <x:v>我以茶代酒，心意一样真。</x:v>
      </x:c>
      <x:c r="U6" s="8" t="str">
        <x:v>With tea in my cup and the same warm wishes.</x:v>
      </x:c>
      <x:c r="V6" s="8" t="str">
        <x:v>有些留恋，不必都说尽。最后这杯敬大家，回去一路平安，群里常有消息，下次见面接着聊。借诗词中的一句：“飞絮送行舟，水东流。”</x:v>
      </x:c>
      <x:c r="W6" s="8" t="str">
        <x:v>有些留恋，不必都说尽。最后这杯敬大家，回去一路平安，群里常有消息，下次见面接着聊。
借苏轼的一句：“飞絮送行舟，水东流。”最后这杯敬大家，归途平安，来日再聚。</x:v>
      </x:c>
      <x:c r="X6" s="8" t="str">
        <x:v>spoken</x:v>
      </x:c>
      <x:c r="Y6" s="8" t="str">
        <x:v>verse-0</x:v>
      </x:c>
      <x:c r="Z6" s="8" t="str"/>
      <x:c r="AA6" s="12" t="str"/>
    </x:row>
    <x:row r="7" ht="72" customHeight="1">
      <x:c r="A7" s="9" t="str">
        <x:v>r04-ci-07-2</x:v>
      </x:c>
      <x:c r="B7" s="11" t="n">
        <x:v>1</x:v>
      </x:c>
      <x:c r="C7" s="9" t="str">
        <x:v>当前推荐</x:v>
      </x:c>
      <x:c r="D7" s="9" t="str">
        <x:v>收个尾</x:v>
      </x:c>
      <x:c r="E7" s="9" t="str">
        <x:v>全桌</x:v>
      </x:c>
      <x:c r="F7" s="9" t="str">
        <x:v>把珍重送上路 · 再说一句</x:v>
      </x:c>
      <x:c r="G7" s="9" t="str">
        <x:v>借词里的清风，给各位送句珍重。今夜不催酒，散后别赶路，平安到了，咱们才算把这顿饭吃圆满。借诗词中的一句：“归路晚风清”</x:v>
      </x:c>
      <x:c r="H7" s="9" t="str">
        <x:v>借词里的清风，给各位送句珍重。今夜不催酒，散后别赶路，平安到了，咱们才算把这顿饭吃圆满。
苏轼在《南乡子·送述古》里写道：“归路晚风清”最后这杯敬大家，归途平安，来日再聚。</x:v>
      </x:c>
      <x:c r="I7" s="9" t="str">
        <x:v>To a safe way home and friends who remember to check in. Here is to another good day together.</x:v>
      </x:c>
      <x:c r="J7" s="9" t="str">
        <x:v>愿回家平安，也有朋友惦记问候。也盼再有同聚的好日子。</x:v>
      </x:c>
      <x:c r="K7" s="9" t="str">
        <x:v>r04-ci-07</x:v>
      </x:c>
      <x:c r="L7" s="9" t="str">
        <x:v>苏轼《南乡子·送述古》</x:v>
      </x:c>
      <x:c r="M7" s="9" t="str">
        <x:v>归路晚风清</x:v>
      </x:c>
      <x:c r="N7" s="9" t="str">
        <x:v>送陈襄离杭，后片含愁；借归路珍重，不预报今晚天气。</x:v>
      </x:c>
      <x:c r="O7" s="9" t="str">
        <x:v>随席取意</x:v>
      </x:c>
      <x:c r="P7" s="9" t="str">
        <x:v>未限定</x:v>
      </x:c>
      <x:c r="Q7" s="9" t="str">
        <x:v>未限定</x:v>
      </x:c>
      <x:c r="R7" s="9" t="str">
        <x:v>引句后整理</x:v>
      </x:c>
      <x:c r="S7" s="9" t="str">
        <x:v>雅致</x:v>
      </x:c>
      <x:c r="T7" s="9" t="str">
        <x:v>我以茶代酒，心意一样真。</x:v>
      </x:c>
      <x:c r="U7" s="9" t="str">
        <x:v>With tea in my cup and the same warm wishes.</x:v>
      </x:c>
      <x:c r="V7" s="9" t="str">
        <x:v>借词里的清风，给各位送句珍重。今夜不催酒，散后别赶路，平安到了，咱们才算把这顿饭吃圆满。借诗词中的一句：“归路晚风清”</x:v>
      </x:c>
      <x:c r="W7" s="9" t="str">
        <x:v>借词里的清风，给各位送句珍重。今夜不催酒，散后别赶路，平安到了，咱们才算把这顿饭吃圆满。
苏轼在《南乡子·送述古》里写道：“归路晚风清”最后这杯敬大家，归途平安，来日再聚。</x:v>
      </x:c>
      <x:c r="X7" s="9" t="str">
        <x:v>spoken</x:v>
      </x:c>
      <x:c r="Y7" s="9" t="str">
        <x:v>verse-2</x:v>
      </x:c>
      <x:c r="Z7" s="9" t="str"/>
      <x:c r="AA7" s="12" t="str"/>
    </x:row>
    <x:row r="8" ht="57" customHeight="1">
      <x:c r="A8" s="8" t="str">
        <x:v>r04-ci-12-2</x:v>
      </x:c>
      <x:c r="B8" s="10" t="n">
        <x:v>1</x:v>
      </x:c>
      <x:c r="C8" s="8" t="str">
        <x:v>当前推荐</x:v>
      </x:c>
      <x:c r="D8" s="8" t="str">
        <x:v>收个尾</x:v>
      </x:c>
      <x:c r="E8" s="8" t="str">
        <x:v>全桌</x:v>
      </x:c>
      <x:c r="F8" s="8" t="str">
        <x:v>给忙碌留一点空 · 再说一句</x:v>
      </x:c>
      <x:c r="G8" s="8" t="str">
        <x:v>今晚的闲先留在心里，回去还是要把日子过好。最后这杯敬各位，愿忙中有余地，来往有好消息。借诗词中的一句：“敲门都不应，倚杖听江声。”</x:v>
      </x:c>
      <x:c r="H8" s="8" t="str">
        <x:v>今晚的闲先留在心里，回去还是要把日子过好。最后这杯敬各位，愿忙中有余地，来往有好消息。
苏轼写过：“敲门都不应，倚杖听江声。”最后这杯敬大家，归途平安，来日再聚。</x:v>
      </x:c>
      <x:c r="I8" s="8" t="str">
        <x:v>To stepping out of the rush and hearing each other properly. Here is to another good day together.</x:v>
      </x:c>
      <x:c r="J8" s="8" t="str">
        <x:v>愿暂缓忙碌，好好听彼此说话。也盼再有同聚的好日子。</x:v>
      </x:c>
      <x:c r="K8" s="8" t="str">
        <x:v>r04-ci-12</x:v>
      </x:c>
      <x:c r="L8" s="8" t="str">
        <x:v>苏轼《临江仙·夜归临皋》</x:v>
      </x:c>
      <x:c r="M8" s="8" t="str">
        <x:v>敲门都不应，倚杖听江声。</x:v>
      </x:c>
      <x:c r="N8" s="8" t="str">
        <x:v>夜归与超脱之想；书注指出小舟远去非实际出逃，不鼓励失约夜归或醉酒。</x:v>
      </x:c>
      <x:c r="O8" s="8" t="str">
        <x:v>随席取意</x:v>
      </x:c>
      <x:c r="P8" s="8" t="str">
        <x:v>未限定</x:v>
      </x:c>
      <x:c r="Q8" s="8" t="str">
        <x:v>未限定</x:v>
      </x:c>
      <x:c r="R8" s="8" t="str">
        <x:v>引句后整理</x:v>
      </x:c>
      <x:c r="S8" s="8" t="str">
        <x:v>雅致</x:v>
      </x:c>
      <x:c r="T8" s="8" t="str">
        <x:v>我以茶代酒，心意一样真。</x:v>
      </x:c>
      <x:c r="U8" s="8" t="str">
        <x:v>With tea in my cup and the same warm wishes.</x:v>
      </x:c>
      <x:c r="V8" s="8" t="str">
        <x:v>今晚的闲先留在心里，回去还是要把日子过好。最后这杯敬各位，愿忙中有余地，来往有好消息。借诗词中的一句：“敲门都不应，倚杖听江声。”</x:v>
      </x:c>
      <x:c r="W8" s="8" t="str">
        <x:v>今晚的闲先留在心里，回去还是要把日子过好。最后这杯敬各位，愿忙中有余地，来往有好消息。
苏轼写过：“敲门都不应，倚杖听江声。”最后这杯敬大家，归途平安，来日再聚。</x:v>
      </x:c>
      <x:c r="X8" s="8" t="str">
        <x:v>spoken</x:v>
      </x:c>
      <x:c r="Y8" s="8" t="str">
        <x:v>verse-3</x:v>
      </x:c>
      <x:c r="Z8" s="8" t="str"/>
      <x:c r="AA8" s="12" t="str"/>
    </x:row>
    <x:row r="9" ht="57" customHeight="1">
      <x:c r="A9" s="9" t="str">
        <x:v>r04-ci-15-2</x:v>
      </x:c>
      <x:c r="B9" s="11" t="n">
        <x:v>1</x:v>
      </x:c>
      <x:c r="C9" s="9" t="str">
        <x:v>当前推荐</x:v>
      </x:c>
      <x:c r="D9" s="9" t="str">
        <x:v>收个尾</x:v>
      </x:c>
      <x:c r="E9" s="9" t="str">
        <x:v>全桌</x:v>
      </x:c>
      <x:c r="F9" s="9" t="str">
        <x:v>留住一点闲 · 再说一句</x:v>
      </x:c>
      <x:c r="G9" s="9" t="str">
        <x:v>好时光不能硬留，好交情可以接着续。敬大家，今夜散席别散了联系，下回再把热闹接上。借诗词中的一句：“持酒劝云云且住”</x:v>
      </x:c>
      <x:c r="H9" s="9" t="str">
        <x:v>好时光不能硬留，好交情可以接着续。敬大家，今夜散席别散了联系，下回再把热闹接上。
秦观写过：“持酒劝云云且住”最后这杯敬大家，归途平安，来日再聚。</x:v>
      </x:c>
      <x:c r="I9" s="9" t="str">
        <x:v>To another chance to meet, with more stories to share. Here is to another good day together.</x:v>
      </x:c>
      <x:c r="J9" s="9" t="str">
        <x:v>盼再相见，也有更多话可聊。也盼再有同聚的好日子。</x:v>
      </x:c>
      <x:c r="K9" s="9" t="str">
        <x:v>r04-ci-15</x:v>
      </x:c>
      <x:c r="L9" s="9" t="str">
        <x:v>秦观《蝶恋花·晓日窥轩双燕语》</x:v>
      </x:c>
      <x:c r="M9" s="9" t="str">
        <x:v>持酒劝云云且住</x:v>
      </x:c>
      <x:c r="N9" s="9" t="str">
        <x:v>拟人留云以惜春，非实际天气；不把惜春写成必定成功的承诺。</x:v>
      </x:c>
      <x:c r="O9" s="9" t="str">
        <x:v>随席取意</x:v>
      </x:c>
      <x:c r="P9" s="9" t="str">
        <x:v>未限定</x:v>
      </x:c>
      <x:c r="Q9" s="9" t="str">
        <x:v>未限定</x:v>
      </x:c>
      <x:c r="R9" s="9" t="str">
        <x:v>引句后整理</x:v>
      </x:c>
      <x:c r="S9" s="9" t="str">
        <x:v>雅致</x:v>
      </x:c>
      <x:c r="T9" s="9" t="str">
        <x:v>我以茶代酒，心意一样真。</x:v>
      </x:c>
      <x:c r="U9" s="9" t="str">
        <x:v>With tea in my cup and the same warm wishes.</x:v>
      </x:c>
      <x:c r="V9" s="9" t="str">
        <x:v>好时光不能硬留，好交情可以接着续。敬大家，今夜散席别散了联系，下回再把热闹接上。借诗词中的一句：“持酒劝云云且住”</x:v>
      </x:c>
      <x:c r="W9" s="9" t="str">
        <x:v>好时光不能硬留，好交情可以接着续。敬大家，今夜散席别散了联系，下回再把热闹接上。
秦观写过：“持酒劝云云且住”最后这杯敬大家，归途平安，来日再聚。</x:v>
      </x:c>
      <x:c r="X9" s="9" t="str">
        <x:v>spoken</x:v>
      </x:c>
      <x:c r="Y9" s="9" t="str">
        <x:v>verse-2</x:v>
      </x:c>
      <x:c r="Z9" s="9" t="str"/>
      <x:c r="AA9" s="12" t="str"/>
    </x:row>
    <x:row r="10" ht="72" customHeight="1">
      <x:c r="A10" s="8" t="str">
        <x:v>r04-ci-28-2</x:v>
      </x:c>
      <x:c r="B10" s="10" t="n">
        <x:v>1</x:v>
      </x:c>
      <x:c r="C10" s="8" t="str">
        <x:v>当前推荐</x:v>
      </x:c>
      <x:c r="D10" s="8" t="str">
        <x:v>收个尾</x:v>
      </x:c>
      <x:c r="E10" s="8" t="str">
        <x:v>全桌</x:v>
      </x:c>
      <x:c r="F10" s="8" t="str">
        <x:v>话没说完下次续 · 再说一句</x:v>
      </x:c>
      <x:c r="G10" s="8" t="str">
        <x:v>一顿饭总有聊不完的话，留一点给下回也好。最后这杯敬各位，愿回去一路顺当，下次相见不生分。借诗词中的一句：“语已多，情未了。”</x:v>
      </x:c>
      <x:c r="H10" s="8" t="str">
        <x:v>一顿饭总有聊不完的话，留一点给下回也好。最后这杯敬各位，愿回去一路顺当，下次相见不生分。
牛希济在《生查子·春山烟欲收》里写道：“语已多，情未了。”最后这杯敬大家，归途平安，来日再聚。</x:v>
      </x:c>
      <x:c r="I10" s="8" t="str">
        <x:v>To conversations we can continue, even after tonight's goodbye. Here is to another good day together.</x:v>
      </x:c>
      <x:c r="J10" s="8" t="str">
        <x:v>愿今晚别后，还能继续未完的交谈。也盼再有同聚的好日子。</x:v>
      </x:c>
      <x:c r="K10" s="8" t="str">
        <x:v>r04-ci-28</x:v>
      </x:c>
      <x:c r="L10" s="8" t="str">
        <x:v>牛希济《生查子·春山烟欲收》</x:v>
      </x:c>
      <x:c r="M10" s="8" t="str">
        <x:v>语已多，情未了。</x:v>
      </x:c>
      <x:c r="N10" s="8" t="str">
        <x:v>恋人清晓惜别；借话未尽的惜别，不把普通朋友拟作恋人。</x:v>
      </x:c>
      <x:c r="O10" s="8" t="str">
        <x:v>随席取意</x:v>
      </x:c>
      <x:c r="P10" s="8" t="str">
        <x:v>未限定</x:v>
      </x:c>
      <x:c r="Q10" s="8" t="str">
        <x:v>未限定</x:v>
      </x:c>
      <x:c r="R10" s="8" t="str">
        <x:v>引句后整理</x:v>
      </x:c>
      <x:c r="S10" s="8" t="str">
        <x:v>雅致</x:v>
      </x:c>
      <x:c r="T10" s="8" t="str">
        <x:v>我以茶代酒，心意一样真。</x:v>
      </x:c>
      <x:c r="U10" s="8" t="str">
        <x:v>With tea in my cup and the same warm wishes.</x:v>
      </x:c>
      <x:c r="V10" s="8" t="str">
        <x:v>一顿饭总有聊不完的话，留一点给下回也好。最后这杯敬各位，愿回去一路顺当，下次相见不生分。借诗词中的一句：“语已多，情未了。”</x:v>
      </x:c>
      <x:c r="W10" s="8" t="str">
        <x:v>一顿饭总有聊不完的话，留一点给下回也好。最后这杯敬各位，愿回去一路顺当，下次相见不生分。
牛希济在《生查子·春山烟欲收》里写道：“语已多，情未了。”最后这杯敬大家，归途平安，来日再聚。</x:v>
      </x:c>
      <x:c r="X10" s="8" t="str">
        <x:v>spoken</x:v>
      </x:c>
      <x:c r="Y10" s="8" t="str">
        <x:v>verse-3</x:v>
      </x:c>
      <x:c r="Z10" s="8" t="str"/>
      <x:c r="AA10" s="12" t="str"/>
    </x:row>
    <x:row r="11" ht="72" customHeight="1">
      <x:c r="A11" s="9" t="str">
        <x:v>r04-shi-1192-2</x:v>
      </x:c>
      <x:c r="B11" s="11" t="n">
        <x:v>1</x:v>
      </x:c>
      <x:c r="C11" s="9" t="str">
        <x:v>当前推荐</x:v>
      </x:c>
      <x:c r="D11" s="9" t="str">
        <x:v>收个尾</x:v>
      </x:c>
      <x:c r="E11" s="9" t="str">
        <x:v>全桌</x:v>
      </x:c>
      <x:c r="F11" s="9" t="str">
        <x:v>把福气说具体 · 再说一句</x:v>
      </x:c>
      <x:c r="G11" s="9" t="str">
        <x:v>把这份古老的祝愿送给同桌各位。今夜的热闹先记着，往后的日子，也愿大家有所得、有所爱、有空常来往。借诗词中的一句：“君子万年，介尔景福。”</x:v>
      </x:c>
      <x:c r="H11" s="9" t="str">
        <x:v>把这份古老的祝愿送给同桌各位。今夜的热闹先记着，往后的日子，也愿大家有所得、有所爱、有空常来往。
借《诗经》的一句：“君子万年，介尔景福。”最后这杯敬大家，归途平安，来日再聚。</x:v>
      </x:c>
      <x:c r="I11" s="9" t="str">
        <x:v>To finding happiness in the ordinary things we share. Here is to another good day together.</x:v>
      </x:c>
      <x:c r="J11" s="9" t="str">
        <x:v>愿在共同的平常生活里找到幸福。也盼再有同聚的好日子。</x:v>
      </x:c>
      <x:c r="K11" s="9" t="str">
        <x:v>r04-shi-1192</x:v>
      </x:c>
      <x:c r="L11" s="9" t="str">
        <x:v>《诗经·既醉》</x:v>
      </x:c>
      <x:c r="M11" s="9" t="str">
        <x:v>君子万年，介尔景福。</x:v>
      </x:c>
      <x:c r="N11" s="9" t="str">
        <x:v>祭祀嘏辞，君子指周王；只借古老祝愿，不说饮酒能延寿获福。</x:v>
      </x:c>
      <x:c r="O11" s="9" t="str">
        <x:v>随席取意</x:v>
      </x:c>
      <x:c r="P11" s="9" t="str">
        <x:v>未限定</x:v>
      </x:c>
      <x:c r="Q11" s="9" t="str">
        <x:v>未限定</x:v>
      </x:c>
      <x:c r="R11" s="9" t="str">
        <x:v>引句后整理</x:v>
      </x:c>
      <x:c r="S11" s="9" t="str">
        <x:v>雅致</x:v>
      </x:c>
      <x:c r="T11" s="9" t="str">
        <x:v>我以茶代酒，心意一样真。</x:v>
      </x:c>
      <x:c r="U11" s="9" t="str">
        <x:v>With tea in my cup and the same warm wishes.</x:v>
      </x:c>
      <x:c r="V11" s="9" t="str">
        <x:v>把这份古老的祝愿送给同桌各位。今夜的热闹先记着，往后的日子，也愿大家有所得、有所爱、有空常来往。借诗词中的一句：“君子万年，介尔景福。”</x:v>
      </x:c>
      <x:c r="W11" s="9" t="str">
        <x:v>把这份古老的祝愿送给同桌各位。今夜的热闹先记着，往后的日子，也愿大家有所得、有所爱、有空常来往。
借《诗经》的一句：“君子万年，介尔景福。”最后这杯敬大家，归途平安，来日再聚。</x:v>
      </x:c>
      <x:c r="X11" s="9" t="str">
        <x:v>spoken</x:v>
      </x:c>
      <x:c r="Y11" s="9" t="str">
        <x:v>verse-2</x:v>
      </x:c>
      <x:c r="Z11" s="9" t="str"/>
      <x:c r="AA11" s="12" t="str"/>
    </x:row>
    <x:row r="12" ht="72" customHeight="1">
      <x:c r="A12" s="8" t="str">
        <x:v>r04-shi-642-2</x:v>
      </x:c>
      <x:c r="B12" s="10" t="n">
        <x:v>1</x:v>
      </x:c>
      <x:c r="C12" s="8" t="str">
        <x:v>当前推荐</x:v>
      </x:c>
      <x:c r="D12" s="8" t="str">
        <x:v>收个尾</x:v>
      </x:c>
      <x:c r="E12" s="8" t="str">
        <x:v>全桌</x:v>
      </x:c>
      <x:c r="F12" s="8" t="str">
        <x:v>人齐心就暖 · 再说一句</x:v>
      </x:c>
      <x:c r="G12" s="8" t="str">
        <x:v>今天这桌的热闹先收进心里，往后各自忙，也别把家常放远。敬这份团圆，散席以后，牵挂照旧。借诗词中的一句：“兄弟既具，和乐且孺。”</x:v>
      </x:c>
      <x:c r="H12" s="8" t="str">
        <x:v>今天这桌的热闹先收进心里，往后各自忙，也别把家常放远。敬这份团圆，散席以后，牵挂照旧。
《诗经》里有一句：“兄弟既具，和乐且孺。”最后这杯敬大家，归途平安，来日再聚。</x:v>
      </x:c>
      <x:c r="I12" s="8" t="str">
        <x:v>To finding our way back to the same table, time after time. Here is to another good day together.</x:v>
      </x:c>
      <x:c r="J12" s="8" t="str">
        <x:v>愿我们总能再坐到同一张饭桌旁。也盼再有同聚的好日子。</x:v>
      </x:c>
      <x:c r="K12" s="8" t="str">
        <x:v>r04-shi-642</x:v>
      </x:c>
      <x:c r="L12" s="8" t="str">
        <x:v>《诗经·常棣》</x:v>
      </x:c>
      <x:c r="M12" s="8" t="str">
        <x:v>兄弟既具，和乐且孺。</x:v>
      </x:c>
      <x:c r="N12" s="8" t="str">
        <x:v>兄弟亲族宴饮的诗；珍惜团聚，不照搬原诗对朋友与兄弟的高下判断。</x:v>
      </x:c>
      <x:c r="O12" s="8" t="str">
        <x:v>随席取意</x:v>
      </x:c>
      <x:c r="P12" s="8" t="str">
        <x:v>未限定</x:v>
      </x:c>
      <x:c r="Q12" s="8" t="str">
        <x:v>未限定</x:v>
      </x:c>
      <x:c r="R12" s="8" t="str">
        <x:v>引句后整理</x:v>
      </x:c>
      <x:c r="S12" s="8" t="str">
        <x:v>雅致</x:v>
      </x:c>
      <x:c r="T12" s="8" t="str">
        <x:v>我以茶代酒，心意一样真。</x:v>
      </x:c>
      <x:c r="U12" s="8" t="str">
        <x:v>With tea in my cup and the same warm wishes.</x:v>
      </x:c>
      <x:c r="V12" s="8" t="str">
        <x:v>今天这桌的热闹先收进心里，往后各自忙，也别把家常放远。敬这份团圆，散席以后，牵挂照旧。借诗词中的一句：“兄弟既具，和乐且孺。”</x:v>
      </x:c>
      <x:c r="W12" s="8" t="str">
        <x:v>今天这桌的热闹先收进心里，往后各自忙，也别把家常放远。敬这份团圆，散席以后，牵挂照旧。
《诗经》里有一句：“兄弟既具，和乐且孺。”最后这杯敬大家，归途平安，来日再聚。</x:v>
      </x:c>
      <x:c r="X12" s="8" t="str">
        <x:v>spoken</x:v>
      </x:c>
      <x:c r="Y12" s="8" t="str">
        <x:v>verse-1</x:v>
      </x:c>
      <x:c r="Z12" s="8" t="str"/>
      <x:c r="AA12" s="12" t="str"/>
    </x:row>
    <x:row r="13" ht="72" customHeight="1">
      <x:c r="A13" s="9" t="str">
        <x:v>r04-shi-765-2</x:v>
      </x:c>
      <x:c r="B13" s="11" t="n">
        <x:v>1</x:v>
      </x:c>
      <x:c r="C13" s="9" t="str">
        <x:v>当前推荐</x:v>
      </x:c>
      <x:c r="D13" s="9" t="str">
        <x:v>收个尾</x:v>
      </x:c>
      <x:c r="E13" s="9" t="str">
        <x:v>全桌</x:v>
      </x:c>
      <x:c r="F13" s="9" t="str">
        <x:v>散席别断音信 · 再说一句</x:v>
      </x:c>
      <x:c r="G13" s="9" t="str">
        <x:v>饭可以散，消息别断。各位回去慢一点，到了说一声；往后谁有好消息，都记得来这群里报个喜。借诗词中的一句：“毋金玉尔音，而有遐心。”</x:v>
      </x:c>
      <x:c r="H13" s="9" t="str">
        <x:v>饭可以散，消息别断。各位回去慢一点，到了说一声；往后谁有好消息，都记得来这群里报个喜。
借《诗经》的一句：“毋金玉尔音，而有遐心。”最后这杯敬大家，归途平安，来日再聚。</x:v>
      </x:c>
      <x:c r="I13" s="9" t="str">
        <x:v>To keeping in touch, even after the journey takes us apart. Here is to another good day together.</x:v>
      </x:c>
      <x:c r="J13" s="9" t="str">
        <x:v>愿路途虽远，音信不断。也盼再有同聚的好日子。</x:v>
      </x:c>
      <x:c r="K13" s="9" t="str">
        <x:v>r04-shi-765</x:v>
      </x:c>
      <x:c r="L13" s="9" t="str">
        <x:v>《诗经·白驹》</x:v>
      </x:c>
      <x:c r="M13" s="9" t="str">
        <x:v>毋金玉尔音，而有遐心。</x:v>
      </x:c>
      <x:c r="N13" s="9" t="str">
        <x:v>留客惜别，盼勿吝音信；不解释为索要金玉礼物，不强留客人。</x:v>
      </x:c>
      <x:c r="O13" s="9" t="str">
        <x:v>随席取意</x:v>
      </x:c>
      <x:c r="P13" s="9" t="str">
        <x:v>未限定</x:v>
      </x:c>
      <x:c r="Q13" s="9" t="str">
        <x:v>未限定</x:v>
      </x:c>
      <x:c r="R13" s="9" t="str">
        <x:v>引句后整理</x:v>
      </x:c>
      <x:c r="S13" s="9" t="str">
        <x:v>雅致</x:v>
      </x:c>
      <x:c r="T13" s="9" t="str">
        <x:v>我以茶代酒，心意一样真。</x:v>
      </x:c>
      <x:c r="U13" s="9" t="str">
        <x:v>With tea in my cup and the same warm wishes.</x:v>
      </x:c>
      <x:c r="V13" s="9" t="str">
        <x:v>饭可以散，消息别断。各位回去慢一点，到了说一声；往后谁有好消息，都记得来这群里报个喜。借诗词中的一句：“毋金玉尔音，而有遐心。”</x:v>
      </x:c>
      <x:c r="W13" s="9" t="str">
        <x:v>饭可以散，消息别断。各位回去慢一点，到了说一声；往后谁有好消息，都记得来这群里报个喜。
借《诗经》的一句：“毋金玉尔音，而有遐心。”最后这杯敬大家，归途平安，来日再聚。</x:v>
      </x:c>
      <x:c r="X13" s="9" t="str">
        <x:v>spoken</x:v>
      </x:c>
      <x:c r="Y13" s="9" t="str">
        <x:v>verse-0</x:v>
      </x:c>
      <x:c r="Z13" s="9" t="str"/>
      <x:c r="AA13" s="12" t="str"/>
    </x:row>
    <x:row r="14" ht="42" customHeight="1">
      <x:c r="A14" s="8" t="str">
        <x:v>spoken-closing-01</x:v>
      </x:c>
      <x:c r="B14" s="10" t="n">
        <x:v>1</x:v>
      </x:c>
      <x:c r="C14" s="8" t="str">
        <x:v>当前推荐</x:v>
      </x:c>
      <x:c r="D14" s="8" t="str">
        <x:v>收个尾</x:v>
      </x:c>
      <x:c r="E14" s="8" t="str">
        <x:v>全桌</x:v>
      </x:c>
      <x:c r="F14" s="8" t="str">
        <x:v>话先到这儿，咱们慢慢吃</x:v>
      </x:c>
      <x:c r="G14" s="8" t="str">
        <x:v>我的话先到这儿，咱们慢慢吃、慢慢聊。祝大家今天高兴，往后的日子也顺心。</x:v>
      </x:c>
      <x:c r="H14" s="8" t="str">
        <x:v>我的话就先说到这儿，不耽误大家吃饭。祝各位今天吃得好、聊得开心，往后的事也顺顺利利。有机会咱们再坐一桌，我敬大家。</x:v>
      </x:c>
      <x:c r="I14" s="8" t="str">
        <x:v>That’s all from me for now. Enjoy the meal, and here’s to good days ahead.</x:v>
      </x:c>
      <x:c r="J14" s="8" t="str">
        <x:v>我的话先到这里，愿大家吃得开心，往后也顺心。</x:v>
      </x:c>
      <x:c r="K14" s="8" t="str">
        <x:v>rhythm</x:v>
      </x:c>
      <x:c r="L14" s="8" t="str">
        <x:v>把话写给耳朵听</x:v>
      </x:c>
      <x:c r="M14" s="8" t="str"/>
      <x:c r="N14" s="8" t="str">
        <x:v>只结束自己的讲话；不代表主人宣布散席，也不催别人饮酒。</x:v>
      </x:c>
      <x:c r="O14" s="8" t="str">
        <x:v>未限定</x:v>
      </x:c>
      <x:c r="P14" s="8" t="str">
        <x:v>未限定</x:v>
      </x:c>
      <x:c r="Q14" s="8" t="str">
        <x:v>未限定</x:v>
      </x:c>
      <x:c r="R14" s="8" t="str">
        <x:v>依据表达方法整理</x:v>
      </x:c>
      <x:c r="S14" s="8" t="str">
        <x:v>雅致</x:v>
      </x:c>
      <x:c r="T14" s="8" t="str">
        <x:v>今天我以茶代酒，心意都在。</x:v>
      </x:c>
      <x:c r="U14" s="8" t="str">
        <x:v>I’m raising a cup of tea, with the same warm wishes.</x:v>
      </x:c>
      <x:c r="V14" s="8" t="str">
        <x:v>我的话先到这儿，咱们慢慢吃、慢慢聊。祝大家今天高兴，往后的日子也顺心。</x:v>
      </x:c>
      <x:c r="W14" s="8" t="str">
        <x:v>我的话就先说到这儿，不耽误大家吃饭。祝各位今天吃得好、聊得开心，往后的事也顺顺利利。有机会咱们再坐一桌，我敬大家。</x:v>
      </x:c>
      <x:c r="X14" s="8" t="str">
        <x:v>spoken</x:v>
      </x:c>
      <x:c r="Y14" s="8" t="str">
        <x:v>plain</x:v>
      </x:c>
      <x:c r="Z14" s="8" t="str"/>
      <x:c r="AA14" s="12" t="str"/>
    </x:row>
    <x:row r="15" ht="42" customHeight="1">
      <x:c r="A15" s="9" t="str">
        <x:v>spoken-closing-02</x:v>
      </x:c>
      <x:c r="B15" s="11" t="n">
        <x:v>1</x:v>
      </x:c>
      <x:c r="C15" s="9" t="str">
        <x:v>当前推荐</x:v>
      </x:c>
      <x:c r="D15" s="9" t="str">
        <x:v>收个尾</x:v>
      </x:c>
      <x:c r="E15" s="9" t="str">
        <x:v>全桌</x:v>
      </x:c>
      <x:c r="F15" s="9" t="str">
        <x:v>把好心情带回去</x:v>
      </x:c>
      <x:c r="G15" s="9" t="str">
        <x:v>我就说到这儿，祝大家把今天的好心情留住。以后有机会，咱们再聚。</x:v>
      </x:c>
      <x:c r="H15" s="9" t="str">
        <x:v>话说到这儿，心意也都在里面了。祝大家今天高高兴兴，往后的日子忙得有收获，闲得有滋味。改天有机会，咱们再像这样好好吃顿饭。</x:v>
      </x:c>
      <x:c r="I15" s="9" t="str">
        <x:v>May the good feeling from today stay with you. Here’s to meeting again.</x:v>
      </x:c>
      <x:c r="J15" s="9" t="str">
        <x:v>愿今天的好心情多留一阵，也盼以后再聚。</x:v>
      </x:c>
      <x:c r="K15" s="9" t="str">
        <x:v>rhythm</x:v>
      </x:c>
      <x:c r="L15" s="9" t="str">
        <x:v>把话写给耳朵听</x:v>
      </x:c>
      <x:c r="M15" s="9" t="str"/>
      <x:c r="N15" s="9" t="str">
        <x:v>只结束自己的讲话；不代表主人宣布散席，也不催别人饮酒。</x:v>
      </x:c>
      <x:c r="O15" s="9" t="str">
        <x:v>未限定</x:v>
      </x:c>
      <x:c r="P15" s="9" t="str">
        <x:v>未限定</x:v>
      </x:c>
      <x:c r="Q15" s="9" t="str">
        <x:v>未限定</x:v>
      </x:c>
      <x:c r="R15" s="9" t="str">
        <x:v>依据表达方法整理</x:v>
      </x:c>
      <x:c r="S15" s="9" t="str">
        <x:v>雅致</x:v>
      </x:c>
      <x:c r="T15" s="9" t="str">
        <x:v>杯里是茶，祝福一样认真。</x:v>
      </x:c>
      <x:c r="U15" s="9" t="str">
        <x:v>I’m raising a cup of tea, with the same warm wishes.</x:v>
      </x:c>
      <x:c r="V15" s="9" t="str">
        <x:v>我就说到这儿，祝大家把今天的好心情留住。以后有机会，咱们再聚。</x:v>
      </x:c>
      <x:c r="W15" s="9" t="str">
        <x:v>话说到这儿，心意也都在里面了。祝大家今天高高兴兴，往后的日子忙得有收获，闲得有滋味。改天有机会，咱们再像这样好好吃顿饭。</x:v>
      </x:c>
      <x:c r="X15" s="9" t="str">
        <x:v>spoken</x:v>
      </x:c>
      <x:c r="Y15" s="9" t="str">
        <x:v>plain</x:v>
      </x:c>
      <x:c r="Z15" s="9" t="str"/>
      <x:c r="AA15" s="12" t="str"/>
    </x:row>
    <x:row r="16" ht="42" customHeight="1">
      <x:c r="A16" s="8" t="str">
        <x:v>spoken-closing-03</x:v>
      </x:c>
      <x:c r="B16" s="10" t="n">
        <x:v>1</x:v>
      </x:c>
      <x:c r="C16" s="8" t="str">
        <x:v>当前推荐</x:v>
      </x:c>
      <x:c r="D16" s="8" t="str">
        <x:v>收个尾</x:v>
      </x:c>
      <x:c r="E16" s="8" t="str">
        <x:v>全桌</x:v>
      </x:c>
      <x:c r="F16" s="8" t="str">
        <x:v>谢谢这一桌的陪伴</x:v>
      </x:c>
      <x:c r="G16" s="8" t="str">
        <x:v>谢谢大家这一桌的陪伴。我先说到这儿，祝各位都好，咱们接着聊。</x:v>
      </x:c>
      <x:c r="H16" s="8" t="str">
        <x:v>说了这几句，最想表达的还是谢谢大家今天的陪伴。我就先收到这儿，祝各位日子过得踏实，心里常有开心的事。咱们饭慢慢吃，话接着聊。</x:v>
      </x:c>
      <x:c r="I16" s="8" t="str">
        <x:v>Thank you for the company. Wishing you well, and let’s carry on enjoying the meal.</x:v>
      </x:c>
      <x:c r="J16" s="8" t="str">
        <x:v>谢谢大家相伴，愿各位都好，咱们接着好好吃饭。</x:v>
      </x:c>
      <x:c r="K16" s="8" t="str">
        <x:v>thanks</x:v>
      </x:c>
      <x:c r="L16" s="8" t="str">
        <x:v>感谢要有落点</x:v>
      </x:c>
      <x:c r="M16" s="8" t="str"/>
      <x:c r="N16" s="8" t="str">
        <x:v>只结束自己的讲话；不代表主人宣布散席，也不催别人饮酒。</x:v>
      </x:c>
      <x:c r="O16" s="8" t="str">
        <x:v>未限定</x:v>
      </x:c>
      <x:c r="P16" s="8" t="str">
        <x:v>未限定</x:v>
      </x:c>
      <x:c r="Q16" s="8" t="str">
        <x:v>未限定</x:v>
      </x:c>
      <x:c r="R16" s="8" t="str">
        <x:v>依据表达方法整理</x:v>
      </x:c>
      <x:c r="S16" s="8" t="str">
        <x:v>雅致</x:v>
      </x:c>
      <x:c r="T16" s="8" t="str">
        <x:v>我用茶陪大家，咱们自在就好。</x:v>
      </x:c>
      <x:c r="U16" s="8" t="str">
        <x:v>I’m raising a cup of tea, with the same warm wishes.</x:v>
      </x:c>
      <x:c r="V16" s="8" t="str">
        <x:v>谢谢大家这一桌的陪伴。我先说到这儿，祝各位都好，咱们接着聊。</x:v>
      </x:c>
      <x:c r="W16" s="8" t="str">
        <x:v>说了这几句，最想表达的还是谢谢大家今天的陪伴。我就先收到这儿，祝各位日子过得踏实，心里常有开心的事。咱们饭慢慢吃，话接着聊。</x:v>
      </x:c>
      <x:c r="X16" s="8" t="str">
        <x:v>spoken</x:v>
      </x:c>
      <x:c r="Y16" s="8" t="str">
        <x:v>plain</x:v>
      </x:c>
      <x:c r="Z16" s="8" t="str"/>
      <x:c r="AA16" s="12" t="str"/>
    </x:row>
    <x:row r="17" ht="42" customHeight="1">
      <x:c r="A17" s="9" t="str">
        <x:v>spoken-closing-04</x:v>
      </x:c>
      <x:c r="B17" s="11" t="n">
        <x:v>1</x:v>
      </x:c>
      <x:c r="C17" s="9" t="str">
        <x:v>当前推荐</x:v>
      </x:c>
      <x:c r="D17" s="9" t="str">
        <x:v>收个尾</x:v>
      </x:c>
      <x:c r="E17" s="9" t="str">
        <x:v>全桌</x:v>
      </x:c>
      <x:c r="F17" s="9" t="str">
        <x:v>畅叙有余，不必把话说尽</x:v>
      </x:c>
      <x:c r="G17" s="9" t="str">
        <x:v>“畅叙幽情”，也不用一口气把话说完。我先敬大家，咱们边吃边聊，把高兴留长一点。</x:v>
      </x:c>
      <x:c r="H17" s="9" t="str">
        <x:v>借“畅叙幽情”的意思，我今天的心意也说到了。话不用一次说尽，饭桌上的好时光，咱们慢慢过。这杯敬大家，愿以后常有见面的机会。</x:v>
      </x:c>
      <x:c r="I17" s="9" t="str">
        <x:v>No need to say everything at once. Here’s to an unhurried meal and more gatherings ahead.</x:v>
      </x:c>
      <x:c r="J17" s="9" t="str">
        <x:v>话不必一次说尽，敬从容相聚，也盼以后常见。</x:v>
      </x:c>
      <x:c r="K17" s="9" t="str">
        <x:v>lanting</x:v>
      </x:c>
      <x:c r="L17" s="9" t="str">
        <x:v>王羲之《兰亭集序》</x:v>
      </x:c>
      <x:c r="M17" s="9" t="str">
        <x:v>一觞一咏，亦足以畅叙幽情。</x:v>
      </x:c>
      <x:c r="N17" s="9" t="str">
        <x:v>只结束自己的讲话；不代表主人宣布散席，也不催别人饮酒。</x:v>
      </x:c>
      <x:c r="O17" s="9" t="str">
        <x:v>未限定</x:v>
      </x:c>
      <x:c r="P17" s="9" t="str">
        <x:v>未限定</x:v>
      </x:c>
      <x:c r="Q17" s="9" t="str">
        <x:v>未限定</x:v>
      </x:c>
      <x:c r="R17" s="9" t="str">
        <x:v>引句后整理</x:v>
      </x:c>
      <x:c r="S17" s="9" t="str">
        <x:v>雅致</x:v>
      </x:c>
      <x:c r="T17" s="9" t="str">
        <x:v>今天我以茶代酒，心意都在。</x:v>
      </x:c>
      <x:c r="U17" s="9" t="str">
        <x:v>I’m raising a cup of tea, with the same warm wishes.</x:v>
      </x:c>
      <x:c r="V17" s="9" t="str">
        <x:v>“畅叙幽情”，也不用一口气把话说完。我先敬大家，咱们边吃边聊，把高兴留长一点。</x:v>
      </x:c>
      <x:c r="W17" s="9" t="str">
        <x:v>借“畅叙幽情”的意思，我今天的心意也说到了。话不用一次说尽，饭桌上的好时光，咱们慢慢过。这杯敬大家，愿以后常有见面的机会。</x:v>
      </x:c>
      <x:c r="X17" s="9" t="str">
        <x:v>spoken</x:v>
      </x:c>
      <x:c r="Y17" s="9" t="str">
        <x:v>verse</x:v>
      </x:c>
      <x:c r="Z17" s="9" t="str"/>
      <x:c r="AA17" s="12" t="str"/>
    </x:row>
    <x:row r="18" ht="42" customHeight="1">
      <x:c r="A18" s="8" t="str">
        <x:v>spoken-closing-05</x:v>
      </x:c>
      <x:c r="B18" s="10" t="n">
        <x:v>1</x:v>
      </x:c>
      <x:c r="C18" s="8" t="str">
        <x:v>当前推荐</x:v>
      </x:c>
      <x:c r="D18" s="8" t="str">
        <x:v>收个尾</x:v>
      </x:c>
      <x:c r="E18" s="8" t="str">
        <x:v>全桌</x:v>
      </x:c>
      <x:c r="F18" s="8" t="str">
        <x:v>这一场相聚，记在心里</x:v>
      </x:c>
      <x:c r="G18" s="8" t="str">
        <x:v>借一句“欣于所遇”，今天这份相聚的高兴，我记在心里。我的话先到这儿，祝大家都好。</x:v>
      </x:c>
      <x:c r="H18" s="8" t="str">
        <x:v>“欣于所遇”，今天借这四个字给自己的话收个尾。能在这一桌聊天、碰杯，我很高兴。祝各位今天尽兴，往后顺心，咱们有机会再坐一桌。</x:v>
      </x:c>
      <x:c r="I18" s="8" t="str">
        <x:v>I’m happy we shared this time. Wishing you well, and hoping we meet again soon.</x:v>
      </x:c>
      <x:c r="J18" s="8" t="str">
        <x:v>很高兴一起度过这段时光，祝各位都好，也盼再见。</x:v>
      </x:c>
      <x:c r="K18" s="8" t="str">
        <x:v>lantingMeet</x:v>
      </x:c>
      <x:c r="L18" s="8" t="str">
        <x:v>欣于所遇，珍惜此刻</x:v>
      </x:c>
      <x:c r="M18" s="8" t="str">
        <x:v>欣于所遇</x:v>
      </x:c>
      <x:c r="N18" s="8" t="str">
        <x:v>只结束自己的讲话；不代表主人宣布散席，也不催别人饮酒。</x:v>
      </x:c>
      <x:c r="O18" s="8" t="str">
        <x:v>未限定</x:v>
      </x:c>
      <x:c r="P18" s="8" t="str">
        <x:v>未限定</x:v>
      </x:c>
      <x:c r="Q18" s="8" t="str">
        <x:v>未限定</x:v>
      </x:c>
      <x:c r="R18" s="8" t="str">
        <x:v>引句后整理</x:v>
      </x:c>
      <x:c r="S18" s="8" t="str">
        <x:v>雅致</x:v>
      </x:c>
      <x:c r="T18" s="8" t="str">
        <x:v>杯里是茶，祝福一样认真。</x:v>
      </x:c>
      <x:c r="U18" s="8" t="str">
        <x:v>I’m raising a cup of tea, with the same warm wishes.</x:v>
      </x:c>
      <x:c r="V18" s="8" t="str">
        <x:v>借一句“欣于所遇”，今天这份相聚的高兴，我记在心里。我的话先到这儿，祝大家都好。</x:v>
      </x:c>
      <x:c r="W18" s="8" t="str">
        <x:v>“欣于所遇”，今天借这四个字给自己的话收个尾。能在这一桌聊天、碰杯，我很高兴。祝各位今天尽兴，往后顺心，咱们有机会再坐一桌。</x:v>
      </x:c>
      <x:c r="X18" s="8" t="str">
        <x:v>spoken</x:v>
      </x:c>
      <x:c r="Y18" s="8" t="str">
        <x:v>verse</x:v>
      </x:c>
      <x:c r="Z18" s="8" t="str"/>
      <x:c r="AA18" s="12" t="str"/>
    </x:row>
    <x:row r="19" ht="42" customHeight="1">
      <x:c r="A19" s="9" t="str">
        <x:v>spoken-closing-06</x:v>
      </x:c>
      <x:c r="B19" s="11" t="n">
        <x:v>1</x:v>
      </x:c>
      <x:c r="C19" s="9" t="str">
        <x:v>当前推荐</x:v>
      </x:c>
      <x:c r="D19" s="9" t="str">
        <x:v>收个尾</x:v>
      </x:c>
      <x:c r="E19" s="9" t="str">
        <x:v>全桌</x:v>
      </x:c>
      <x:c r="F19" s="9" t="str">
        <x:v>见面有欢喜，分别也惦记</x:v>
      </x:c>
      <x:c r="G19" s="9" t="str">
        <x:v>借“相知无远近”这份心意，祝咱们见面有欢喜，平时也记得彼此。来，我先敬大家。</x:v>
      </x:c>
      <x:c r="H19" s="9" t="str">
        <x:v>借“相知无远近”这份心意，我就把话收到这儿。见面的时候开心，平时各忙各的，也记得有朋友在。这杯敬大家，祝各位都把日子过好，往后有空再聚。</x:v>
      </x:c>
      <x:c r="I19" s="9" t="str">
        <x:v>To staying close through busy days and being happy whenever we meet.</x:v>
      </x:c>
      <x:c r="J19" s="9" t="str">
        <x:v>敬忙碌中依然亲近，也愿每次见面都开心。</x:v>
      </x:c>
      <x:c r="K19" s="9" t="str">
        <x:v>zhang</x:v>
      </x:c>
      <x:c r="L19" s="9" t="str">
        <x:v>张九龄《送韦城李少府》</x:v>
      </x:c>
      <x:c r="M19" s="9" t="str">
        <x:v>相知无远近，万里尚为邻。</x:v>
      </x:c>
      <x:c r="N19" s="9" t="str">
        <x:v>只结束自己的讲话；不代表主人宣布散席，也不催别人饮酒。</x:v>
      </x:c>
      <x:c r="O19" s="9" t="str">
        <x:v>未限定</x:v>
      </x:c>
      <x:c r="P19" s="9" t="str">
        <x:v>未限定</x:v>
      </x:c>
      <x:c r="Q19" s="9" t="str">
        <x:v>未限定</x:v>
      </x:c>
      <x:c r="R19" s="9" t="str">
        <x:v>引句后整理</x:v>
      </x:c>
      <x:c r="S19" s="9" t="str">
        <x:v>雅致</x:v>
      </x:c>
      <x:c r="T19" s="9" t="str">
        <x:v>我用茶陪大家，咱们自在就好。</x:v>
      </x:c>
      <x:c r="U19" s="9" t="str">
        <x:v>I’m raising a cup of tea, with the same warm wishes.</x:v>
      </x:c>
      <x:c r="V19" s="9" t="str">
        <x:v>借“相知无远近”这份心意，祝咱们见面有欢喜，平时也记得彼此。来，我先敬大家。</x:v>
      </x:c>
      <x:c r="W19" s="9" t="str">
        <x:v>借“相知无远近”这份心意，我就把话收到这儿。见面的时候开心，平时各忙各的，也记得有朋友在。这杯敬大家，祝各位都把日子过好，往后有空再聚。</x:v>
      </x:c>
      <x:c r="X19" s="9" t="str">
        <x:v>spoken</x:v>
      </x:c>
      <x:c r="Y19" s="9" t="str">
        <x:v>verse</x:v>
      </x:c>
      <x:c r="Z19" s="9" t="str"/>
      <x:c r="AA19" s="12" t="str"/>
    </x:row>
    <x:row r="20" ht="42" customHeight="1">
      <x:c r="A20" s="8" t="str">
        <x:v>spoken-closing-07</x:v>
      </x:c>
      <x:c r="B20" s="10" t="n">
        <x:v>1</x:v>
      </x:c>
      <x:c r="C20" s="8" t="str">
        <x:v>当前推荐</x:v>
      </x:c>
      <x:c r="D20" s="8" t="str">
        <x:v>收个尾</x:v>
      </x:c>
      <x:c r="E20" s="8" t="str">
        <x:v>全桌</x:v>
      </x:c>
      <x:c r="F20" s="8" t="str">
        <x:v>不耽误大家吃下一口</x:v>
      </x:c>
      <x:c r="G20" s="8" t="str">
        <x:v>我就说到这儿，不耽误大家吃下一口。祝各位今天开心，明天也有好消息！</x:v>
      </x:c>
      <x:c r="H20" s="8" t="str">
        <x:v>我的话就先到这儿，再说下去，大家喜欢的菜可能都该凉了。最后祝各位今天吃得香，明天事好办，往后的日子笑声多。来，咱们接着吃。</x:v>
      </x:c>
      <x:c r="I20" s="8" t="str">
        <x:v>I’ll stop before the food gets cold. Enjoy dinner, and may tomorrow bring good news!</x:v>
      </x:c>
      <x:c r="J20" s="8" t="str">
        <x:v>我先说到这里，别让菜凉了；祝大家吃得开心，明天有好消息。</x:v>
      </x:c>
      <x:c r="K20" s="8" t="str">
        <x:v>rhythm</x:v>
      </x:c>
      <x:c r="L20" s="8" t="str">
        <x:v>把话写给耳朵听</x:v>
      </x:c>
      <x:c r="M20" s="8" t="str"/>
      <x:c r="N20" s="8" t="str">
        <x:v>只结束自己的讲话；不代表主人宣布散席，也不催别人饮酒。</x:v>
      </x:c>
      <x:c r="O20" s="8" t="str">
        <x:v>未限定</x:v>
      </x:c>
      <x:c r="P20" s="8" t="str">
        <x:v>未限定</x:v>
      </x:c>
      <x:c r="Q20" s="8" t="str">
        <x:v>未限定</x:v>
      </x:c>
      <x:c r="R20" s="8" t="str">
        <x:v>依据表达方法整理</x:v>
      </x:c>
      <x:c r="S20" s="8" t="str">
        <x:v>诙谐</x:v>
      </x:c>
      <x:c r="T20" s="8" t="str">
        <x:v>今天我以茶代酒，心意都在。</x:v>
      </x:c>
      <x:c r="U20" s="8" t="str">
        <x:v>I’m raising a cup of tea, with the same warm wishes.</x:v>
      </x:c>
      <x:c r="V20" s="8" t="str">
        <x:v>我就说到这儿，不耽误大家吃下一口。祝各位今天开心，明天也有好消息！</x:v>
      </x:c>
      <x:c r="W20" s="8" t="str">
        <x:v>我的话就先到这儿，再说下去，大家喜欢的菜可能都该凉了。最后祝各位今天吃得香，明天事好办，往后的日子笑声多。来，咱们接着吃。</x:v>
      </x:c>
      <x:c r="X20" s="8" t="str">
        <x:v>spoken</x:v>
      </x:c>
      <x:c r="Y20" s="8" t="str">
        <x:v>fun</x:v>
      </x:c>
      <x:c r="Z20" s="8" t="str"/>
      <x:c r="AA20" s="12" t="str"/>
    </x:row>
    <x:row r="21" ht="42" customHeight="1">
      <x:c r="A21" s="9" t="str">
        <x:v>spoken-closing-08</x:v>
      </x:c>
      <x:c r="B21" s="11" t="n">
        <x:v>1</x:v>
      </x:c>
      <x:c r="C21" s="9" t="str">
        <x:v>当前推荐</x:v>
      </x:c>
      <x:c r="D21" s="9" t="str">
        <x:v>收个尾</x:v>
      </x:c>
      <x:c r="E21" s="9" t="str">
        <x:v>全桌</x:v>
      </x:c>
      <x:c r="F21" s="9" t="str">
        <x:v>祝福续上，长篇就免了</x:v>
      </x:c>
      <x:c r="G21" s="9" t="str">
        <x:v>祝福给大家续上，长篇我就不续了。来，祝各位事顺心、人平安，咱们接着聊。</x:v>
      </x:c>
      <x:c r="H21" s="9" t="str">
        <x:v>我这段话就不续长篇了，祝福倒可以多留一点。祝大家事顺心、人平安，难题有人一起想，好事有人一起乐。来，敬各位，咱们接着聊。</x:v>
      </x:c>
      <x:c r="I21" s="9" t="str">
        <x:v>No more long speeches—just more good wishes. Here’s to you all!</x:v>
      </x:c>
      <x:c r="J21" s="9" t="str">
        <x:v>长篇就不继续了，祝福还想多送一点，这杯敬大家。</x:v>
      </x:c>
      <x:c r="K21" s="9" t="str">
        <x:v>rhythm</x:v>
      </x:c>
      <x:c r="L21" s="9" t="str">
        <x:v>把话写给耳朵听</x:v>
      </x:c>
      <x:c r="M21" s="9" t="str"/>
      <x:c r="N21" s="9" t="str">
        <x:v>只结束自己的讲话；不代表主人宣布散席，也不催别人饮酒。</x:v>
      </x:c>
      <x:c r="O21" s="9" t="str">
        <x:v>未限定</x:v>
      </x:c>
      <x:c r="P21" s="9" t="str">
        <x:v>未限定</x:v>
      </x:c>
      <x:c r="Q21" s="9" t="str">
        <x:v>未限定</x:v>
      </x:c>
      <x:c r="R21" s="9" t="str">
        <x:v>依据表达方法整理</x:v>
      </x:c>
      <x:c r="S21" s="9" t="str">
        <x:v>诙谐</x:v>
      </x:c>
      <x:c r="T21" s="9" t="str">
        <x:v>杯里是茶，祝福一样认真。</x:v>
      </x:c>
      <x:c r="U21" s="9" t="str">
        <x:v>I’m raising a cup of tea, with the same warm wishes.</x:v>
      </x:c>
      <x:c r="V21" s="9" t="str">
        <x:v>祝福给大家续上，长篇我就不续了。来，祝各位事顺心、人平安，咱们接着聊。</x:v>
      </x:c>
      <x:c r="W21" s="9" t="str">
        <x:v>我这段话就不续长篇了，祝福倒可以多留一点。祝大家事顺心、人平安，难题有人一起想，好事有人一起乐。来，敬各位，咱们接着聊。</x:v>
      </x:c>
      <x:c r="X21" s="9" t="str">
        <x:v>spoken</x:v>
      </x:c>
      <x:c r="Y21" s="9" t="str">
        <x:v>fun</x:v>
      </x:c>
      <x:c r="Z21" s="9" t="str"/>
      <x:c r="AA21" s="12" t="str"/>
    </x:row>
    <x:row r="22" ht="42" customHeight="1">
      <x:c r="A22" s="8" t="str">
        <x:v>spoken-closing-09</x:v>
      </x:c>
      <x:c r="B22" s="10" t="n">
        <x:v>1</x:v>
      </x:c>
      <x:c r="C22" s="8" t="str">
        <x:v>当前推荐</x:v>
      </x:c>
      <x:c r="D22" s="8" t="str">
        <x:v>收个尾</x:v>
      </x:c>
      <x:c r="E22" s="8" t="str">
        <x:v>全桌</x:v>
      </x:c>
      <x:c r="F22" s="8" t="str">
        <x:v>心意说到了，话就先收住</x:v>
      </x:c>
      <x:c r="G22" s="8" t="str">
        <x:v>心意说到了，话我就先收住。祝大家都好，咱们把这顿饭吃得舒舒服服。</x:v>
      </x:c>
      <x:c r="H22" s="8" t="str">
        <x:v>该说的祝福都在心里，也都送到这一桌了。我就先收住，不耽误大家吃饭。愿各位今天开心，往后顺心，咱们接着慢慢聊。</x:v>
      </x:c>
      <x:c r="I22" s="8" t="str">
        <x:v>The wishes are heartfelt, and I’ll leave it there. Enjoy the meal, everyone.</x:v>
      </x:c>
      <x:c r="J22" s="8" t="str">
        <x:v>祝福都是真心的，我的话先收到这里，祝大家吃得开心。</x:v>
      </x:c>
      <x:c r="K22" s="8" t="str">
        <x:v>rhythm</x:v>
      </x:c>
      <x:c r="L22" s="8" t="str">
        <x:v>把话写给耳朵听</x:v>
      </x:c>
      <x:c r="M22" s="8" t="str"/>
      <x:c r="N22" s="8" t="str">
        <x:v>只结束自己的讲话；不代表主人宣布散席，也不催别人饮酒。</x:v>
      </x:c>
      <x:c r="O22" s="8" t="str">
        <x:v>未限定</x:v>
      </x:c>
      <x:c r="P22" s="8" t="str">
        <x:v>未限定</x:v>
      </x:c>
      <x:c r="Q22" s="8" t="str">
        <x:v>未限定</x:v>
      </x:c>
      <x:c r="R22" s="8" t="str">
        <x:v>依据表达方法整理</x:v>
      </x:c>
      <x:c r="S22" s="8" t="str">
        <x:v>雅致</x:v>
      </x:c>
      <x:c r="T22" s="8" t="str">
        <x:v>我用茶陪大家，咱们自在就好。</x:v>
      </x:c>
      <x:c r="U22" s="8" t="str">
        <x:v>I’m raising a cup of tea, with the same warm wishes.</x:v>
      </x:c>
      <x:c r="V22" s="8" t="str">
        <x:v>心意说到了，话我就先收住。祝大家都好，咱们把这顿饭吃得舒舒服服。</x:v>
      </x:c>
      <x:c r="W22" s="8" t="str">
        <x:v>该说的祝福都在心里，也都送到这一桌了。我就先收住，不耽误大家吃饭。愿各位今天开心，往后顺心，咱们接着慢慢聊。</x:v>
      </x:c>
      <x:c r="X22" s="8" t="str">
        <x:v>spoken</x:v>
      </x:c>
      <x:c r="Y22" s="8" t="str">
        <x:v>plain</x:v>
      </x:c>
      <x:c r="Z22" s="8" t="str"/>
      <x:c r="AA22" s="12" t="str"/>
    </x:row>
    <x:row r="23" ht="42" customHeight="1">
      <x:c r="A23" s="9" t="str">
        <x:v>spoken-closing-10</x:v>
      </x:c>
      <x:c r="B23" s="11" t="n">
        <x:v>1</x:v>
      </x:c>
      <x:c r="C23" s="9" t="str">
        <x:v>当前推荐</x:v>
      </x:c>
      <x:c r="D23" s="9" t="str">
        <x:v>收个尾</x:v>
      </x:c>
      <x:c r="E23" s="9" t="str">
        <x:v>全桌</x:v>
      </x:c>
      <x:c r="F23" s="9" t="str">
        <x:v>话留点余地，相聚留点回味</x:v>
      </x:c>
      <x:c r="G23" s="9" t="str">
        <x:v>借“一觞一咏”的意思，话就说到这儿，相聚的高兴慢慢回味。来，敬大家。</x:v>
      </x:c>
      <x:c r="H23" s="9" t="str">
        <x:v>“一觞一咏”，有话可说，有人可听，这样的相聚就很好。我把话收到这儿，把祝福送给各位，愿往后的日子顺心，想见的时候也常能见到。</x:v>
      </x:c>
      <x:c r="I23" s="9" t="str">
        <x:v>To having someone to talk to and more chances to share a table.</x:v>
      </x:c>
      <x:c r="J23" s="9" t="str">
        <x:v>敬有人说话，也盼更多同桌相聚的机会。</x:v>
      </x:c>
      <x:c r="K23" s="9" t="str">
        <x:v>lanting</x:v>
      </x:c>
      <x:c r="L23" s="9" t="str">
        <x:v>王羲之《兰亭集序》</x:v>
      </x:c>
      <x:c r="M23" s="9" t="str">
        <x:v>一觞一咏，亦足以畅叙幽情。</x:v>
      </x:c>
      <x:c r="N23" s="9" t="str">
        <x:v>只结束自己的讲话；不代表主人宣布散席，也不催别人饮酒。</x:v>
      </x:c>
      <x:c r="O23" s="9" t="str">
        <x:v>未限定</x:v>
      </x:c>
      <x:c r="P23" s="9" t="str">
        <x:v>未限定</x:v>
      </x:c>
      <x:c r="Q23" s="9" t="str">
        <x:v>未限定</x:v>
      </x:c>
      <x:c r="R23" s="9" t="str">
        <x:v>引句后整理</x:v>
      </x:c>
      <x:c r="S23" s="9" t="str">
        <x:v>雅致</x:v>
      </x:c>
      <x:c r="T23" s="9" t="str">
        <x:v>今天我以茶代酒，心意都在。</x:v>
      </x:c>
      <x:c r="U23" s="9" t="str">
        <x:v>I’m raising a cup of tea, with the same warm wishes.</x:v>
      </x:c>
      <x:c r="V23" s="9" t="str">
        <x:v>借“一觞一咏”的意思，话就说到这儿，相聚的高兴慢慢回味。来，敬大家。</x:v>
      </x:c>
      <x:c r="W23" s="9" t="str">
        <x:v>“一觞一咏”，有话可说，有人可听，这样的相聚就很好。我把话收到这儿，把祝福送给各位，愿往后的日子顺心，想见的时候也常能见到。</x:v>
      </x:c>
      <x:c r="X23" s="9" t="str">
        <x:v>spoken</x:v>
      </x:c>
      <x:c r="Y23" s="9" t="str">
        <x:v>verse</x:v>
      </x:c>
      <x:c r="Z23" s="9" t="str"/>
      <x:c r="AA23" s="12" t="str"/>
    </x:row>
    <x:row r="24" ht="42" customHeight="1">
      <x:c r="A24" s="8" t="str">
        <x:v>spoken-closing-11</x:v>
      </x:c>
      <x:c r="B24" s="10" t="n">
        <x:v>1</x:v>
      </x:c>
      <x:c r="C24" s="8" t="str">
        <x:v>当前推荐</x:v>
      </x:c>
      <x:c r="D24" s="8" t="str">
        <x:v>收个尾</x:v>
      </x:c>
      <x:c r="E24" s="8" t="str">
        <x:v>全桌</x:v>
      </x:c>
      <x:c r="F24" s="8" t="str">
        <x:v>麦克风还给饭桌</x:v>
      </x:c>
      <x:c r="G24" s="8" t="str">
        <x:v>我把发言先交回饭桌，大家该吃吃、该聊聊。祝各位高兴，往后常有好消息。</x:v>
      </x:c>
      <x:c r="H24" s="8" t="str">
        <x:v>我的话先到这儿，接下来让好吃的接着发言。祝大家今天吃得好，平时睡得好，手头的事也都办得顺。来，敬各位，咱们接着聊。</x:v>
      </x:c>
      <x:c r="I24" s="8" t="str">
        <x:v>I’ll let the food do the talking now. Enjoy dinner, and warm wishes to everyone!</x:v>
      </x:c>
      <x:c r="J24" s="8" t="str">
        <x:v>接下来让饭菜继续表现，祝大家吃得开心，一切顺心。</x:v>
      </x:c>
      <x:c r="K24" s="8" t="str">
        <x:v>rhythm</x:v>
      </x:c>
      <x:c r="L24" s="8" t="str">
        <x:v>把话写给耳朵听</x:v>
      </x:c>
      <x:c r="M24" s="8" t="str"/>
      <x:c r="N24" s="8" t="str">
        <x:v>只结束自己的讲话；不代表主人宣布散席，也不催别人饮酒。</x:v>
      </x:c>
      <x:c r="O24" s="8" t="str">
        <x:v>未限定</x:v>
      </x:c>
      <x:c r="P24" s="8" t="str">
        <x:v>未限定</x:v>
      </x:c>
      <x:c r="Q24" s="8" t="str">
        <x:v>未限定</x:v>
      </x:c>
      <x:c r="R24" s="8" t="str">
        <x:v>依据表达方法整理</x:v>
      </x:c>
      <x:c r="S24" s="8" t="str">
        <x:v>诙谐</x:v>
      </x:c>
      <x:c r="T24" s="8" t="str">
        <x:v>杯里是茶，祝福一样认真。</x:v>
      </x:c>
      <x:c r="U24" s="8" t="str">
        <x:v>I’m raising a cup of tea, with the same warm wishes.</x:v>
      </x:c>
      <x:c r="V24" s="8" t="str">
        <x:v>我把发言先交回饭桌，大家该吃吃、该聊聊。祝各位高兴，往后常有好消息。</x:v>
      </x:c>
      <x:c r="W24" s="8" t="str">
        <x:v>我的话先到这儿，接下来让好吃的接着发言。祝大家今天吃得好，平时睡得好，手头的事也都办得顺。来，敬各位，咱们接着聊。</x:v>
      </x:c>
      <x:c r="X24" s="8" t="str">
        <x:v>spoken</x:v>
      </x:c>
      <x:c r="Y24" s="8" t="str">
        <x:v>fun</x:v>
      </x:c>
      <x:c r="Z24" s="8" t="str"/>
      <x:c r="AA24" s="12" t="str"/>
    </x:row>
    <x:row r="25" ht="42" customHeight="1">
      <x:c r="A25" s="9" t="str">
        <x:v>spoken-closing-12</x:v>
      </x:c>
      <x:c r="B25" s="11" t="n">
        <x:v>1</x:v>
      </x:c>
      <x:c r="C25" s="9" t="str">
        <x:v>当前推荐</x:v>
      </x:c>
      <x:c r="D25" s="9" t="str">
        <x:v>收个尾</x:v>
      </x:c>
      <x:c r="E25" s="9" t="str">
        <x:v>全桌</x:v>
      </x:c>
      <x:c r="F25" s="9" t="str">
        <x:v>好话留点，下回还用得上</x:v>
      </x:c>
      <x:c r="G25" s="9" t="str">
        <x:v>我就先说这么多，好话留一点，下回咱们见面还用得上。来，祝大家都好！</x:v>
      </x:c>
      <x:c r="H25" s="9" t="str">
        <x:v>好话不用今天一次说完，下回见面，我还想接着祝各位好。今天就先敬到这儿，愿大家吃得开心，日子顺心，咱们改天有机会再聚。</x:v>
      </x:c>
      <x:c r="I25" s="9" t="str">
        <x:v>I’ll save a few good wishes for our next gathering. Until then, wishing you all well!</x:v>
      </x:c>
      <x:c r="J25" s="9" t="str">
        <x:v>留几句好话给下次相聚，也愿各位往后一切都好。</x:v>
      </x:c>
      <x:c r="K25" s="9" t="str">
        <x:v>rhythm</x:v>
      </x:c>
      <x:c r="L25" s="9" t="str">
        <x:v>把话写给耳朵听</x:v>
      </x:c>
      <x:c r="M25" s="9" t="str"/>
      <x:c r="N25" s="9" t="str">
        <x:v>只结束自己的讲话；不代表主人宣布散席，也不催别人饮酒。</x:v>
      </x:c>
      <x:c r="O25" s="9" t="str">
        <x:v>未限定</x:v>
      </x:c>
      <x:c r="P25" s="9" t="str">
        <x:v>未限定</x:v>
      </x:c>
      <x:c r="Q25" s="9" t="str">
        <x:v>未限定</x:v>
      </x:c>
      <x:c r="R25" s="9" t="str">
        <x:v>依据表达方法整理</x:v>
      </x:c>
      <x:c r="S25" s="9" t="str">
        <x:v>诙谐</x:v>
      </x:c>
      <x:c r="T25" s="9" t="str">
        <x:v>我用茶陪大家，咱们自在就好。</x:v>
      </x:c>
      <x:c r="U25" s="9" t="str">
        <x:v>I’m raising a cup of tea, with the same warm wishes.</x:v>
      </x:c>
      <x:c r="V25" s="9" t="str">
        <x:v>我就先说这么多，好话留一点，下回咱们见面还用得上。来，祝大家都好！</x:v>
      </x:c>
      <x:c r="W25" s="9" t="str">
        <x:v>好话不用今天一次说完，下回见面，我还想接着祝各位好。今天就先敬到这儿，愿大家吃得开心，日子顺心，咱们改天有机会再聚。</x:v>
      </x:c>
      <x:c r="X25" s="9" t="str">
        <x:v>spoken</x:v>
      </x:c>
      <x:c r="Y25" s="9" t="str">
        <x:v>fun</x:v>
      </x:c>
      <x:c r="Z25" s="9" t="str"/>
      <x:c r="AA25" s="12" t="str"/>
    </x:row>
    <x:row r="26" ht="57" customHeight="1">
      <x:c r="A26" s="8" t="str">
        <x:v>verse-li-flower</x:v>
      </x:c>
      <x:c r="B26" s="10" t="n">
        <x:v>1</x:v>
      </x:c>
      <x:c r="C26" s="8" t="str">
        <x:v>当前推荐</x:v>
      </x:c>
      <x:c r="D26" s="8" t="str">
        <x:v>收个尾</x:v>
      </x:c>
      <x:c r="E26" s="8" t="str">
        <x:v>全桌</x:v>
      </x:c>
      <x:c r="F26" s="8" t="str">
        <x:v>把余兴留给下一回</x:v>
      </x:c>
      <x:c r="G26" s="8" t="str">
        <x:v>“更持红烛赏残花。”有些好时光，人散了还舍不得忘。我先把话收到这里，愿大家今天有余兴，往后有再会。</x:v>
      </x:c>
      <x:c r="H26" s="8" t="str">
        <x:v>李商隐写“更持红烛赏残花”，相聚之后还有回味。今天我就把话收到这里，把这份高兴留长一点。愿各位往后的日子，既有忙碌的收获，也有舍不得匆匆过完的好时光；下次见面，咱们接着聊。</x:v>
      </x:c>
      <x:c r="I26" s="8" t="str">
        <x:v>May this gathering leave a warm afterglow, and may we have more good moments to look forward to.</x:v>
      </x:c>
      <x:c r="J26" s="8" t="str">
        <x:v>愿这次相聚留有余味，也愿往后还有好时光可盼。</x:v>
      </x:c>
      <x:c r="K26" s="8" t="str">
        <x:v>poem-li-flower</x:v>
      </x:c>
      <x:c r="L26" s="8" t="str">
        <x:v>李商隐《花下醉》</x:v>
      </x:c>
      <x:c r="M26" s="8" t="str">
        <x:v>更持红烛赏残花。</x:v>
      </x:c>
      <x:c r="N26" s="8" t="str">
        <x:v>原诗客散酒醒后仍赏花，既有留恋也有余兴；此处取珍惜眼前，不鼓励深夜独饮或说这是纯欢乐诗。</x:v>
      </x:c>
      <x:c r="O26" s="8" t="str">
        <x:v>夜晚小酌、好友知己</x:v>
      </x:c>
      <x:c r="P26" s="8" t="str">
        <x:v>未限定</x:v>
      </x:c>
      <x:c r="Q26" s="8" t="str">
        <x:v>未限定</x:v>
      </x:c>
      <x:c r="R26" s="8" t="str">
        <x:v>引句后整理</x:v>
      </x:c>
      <x:c r="S26" s="8" t="str">
        <x:v>雅致</x:v>
      </x:c>
      <x:c r="T26" s="8" t="str">
        <x:v>我以茶代酒，心意一样。</x:v>
      </x:c>
      <x:c r="U26" s="8" t="str">
        <x:v>With tea in my cup and the same warm wishes.</x:v>
      </x:c>
      <x:c r="V26" s="8" t="str">
        <x:v>“更持红烛赏残花。”有些好时光，人散了还舍不得忘。我先把话收到这里，愿大家今天有余兴，往后有再会。</x:v>
      </x:c>
      <x:c r="W26" s="8" t="str">
        <x:v>李商隐写“更持红烛赏残花”，相聚之后还有回味。今天我就把话收到这里，把这份高兴留长一点。愿各位往后的日子，既有忙碌的收获，也有舍不得匆匆过完的好时光；下次见面，咱们接着聊。</x:v>
      </x:c>
      <x:c r="X26" s="8" t="str">
        <x:v>spoken</x:v>
      </x:c>
      <x:c r="Y26" s="8" t="str">
        <x:v>verse</x:v>
      </x:c>
      <x:c r="Z26" s="8" t="str"/>
      <x:c r="AA26" s="12" t="str"/>
    </x:row>
    <x:row r="27" ht="57" customHeight="1">
      <x:c r="A27" s="9" t="str">
        <x:v>verse-li-stars</x:v>
      </x:c>
      <x:c r="B27" s="11" t="n">
        <x:v>1</x:v>
      </x:c>
      <x:c r="C27" s="9" t="str">
        <x:v>当前推荐</x:v>
      </x:c>
      <x:c r="D27" s="9" t="str">
        <x:v>收个尾</x:v>
      </x:c>
      <x:c r="E27" s="9" t="str">
        <x:v>全桌</x:v>
      </x:c>
      <x:c r="F27" s="9" t="str">
        <x:v>话有余味，下回再续</x:v>
      </x:c>
      <x:c r="G27" s="9" t="str">
        <x:v>“长歌吟松风，曲尽河星稀。”聊得来，时间就过得快。我先把话收到这里，把相聚的余味留长一点。来，敬大家。</x:v>
      </x:c>
      <x:c r="H27" s="9" t="str">
        <x:v>李白写“长歌吟松风，曲尽河星稀”，好相聚往往让人忘了时间。我就把自己的话收到这里，不把祝福说尽：愿大家各自忙得顺，也常有这样的闲；今天没说完的好故事，往后咱们接着聊。来，敬各位。</x:v>
      </x:c>
      <x:c r="I27" s="9" t="str">
        <x:v>I will leave my toast here and keep some stories for next time. Here’s to more unhurried conversations.</x:v>
      </x:c>
      <x:c r="J27" s="9" t="str">
        <x:v>话先到这里，故事留给下回，也盼更多从容交谈。</x:v>
      </x:c>
      <x:c r="K27" s="9" t="str">
        <x:v>poem-li-stars</x:v>
      </x:c>
      <x:c r="L27" s="9" t="str">
        <x:v>李白《下终南山过斛斯山人宿置酒》</x:v>
      </x:c>
      <x:c r="M27" s="9" t="str">
        <x:v>长歌吟松风，曲尽河星稀。</x:v>
      </x:c>
      <x:c r="N27" s="9" t="str">
        <x:v>河星指银河中的星；借相聚有余味，不要求大家聊到天明。 原诗欢聚长歌直至星稀；取交谈投缘，不要求熬夜、不把诗中星空当现场。</x:v>
      </x:c>
      <x:c r="O27" s="9" t="str">
        <x:v>夜晚小酌、好友知己</x:v>
      </x:c>
      <x:c r="P27" s="9" t="str">
        <x:v>未限定</x:v>
      </x:c>
      <x:c r="Q27" s="9" t="str">
        <x:v>未限定</x:v>
      </x:c>
      <x:c r="R27" s="9" t="str">
        <x:v>引句后整理</x:v>
      </x:c>
      <x:c r="S27" s="9" t="str">
        <x:v>雅致</x:v>
      </x:c>
      <x:c r="T27" s="9" t="str">
        <x:v>我以茶代酒，心意一样。</x:v>
      </x:c>
      <x:c r="U27" s="9" t="str">
        <x:v>With tea in my cup and the same warm wishes.</x:v>
      </x:c>
      <x:c r="V27" s="9" t="str">
        <x:v>“长歌吟松风，曲尽河星稀。”聊得来，时间就过得快。我先把话收到这里，把相聚的余味留长一点。来，敬大家。</x:v>
      </x:c>
      <x:c r="W27" s="9" t="str">
        <x:v>李白写“长歌吟松风，曲尽河星稀”，好相聚往往让人忘了时间。我就把自己的话收到这里，不把祝福说尽：愿大家各自忙得顺，也常有这样的闲；今天没说完的好故事，往后咱们接着聊。来，敬各位。</x:v>
      </x:c>
      <x:c r="X27" s="9" t="str">
        <x:v>spoken</x:v>
      </x:c>
      <x:c r="Y27" s="9" t="str">
        <x:v>verse</x:v>
      </x:c>
      <x:c r="Z27" s="9" t="str"/>
      <x:c r="AA27" s="12" t="str"/>
    </x:row>
    <x:row r="28" ht="57" customHeight="1">
      <x:c r="A28" s="8" t="str">
        <x:v>dating-01</x:v>
      </x:c>
      <x:c r="B28" s="10" t="n">
        <x:v>1</x:v>
      </x:c>
      <x:c r="C28" s="8" t="str">
        <x:v>当前推荐</x:v>
      </x:c>
      <x:c r="D28" s="8" t="str">
        <x:v>相亲约会</x:v>
      </x:c>
      <x:c r="E28" s="8" t="str">
        <x:v>全桌</x:v>
      </x:c>
      <x:c r="F28" s="8" t="str">
        <x:v>相识，留一点从容</x:v>
      </x:c>
      <x:c r="G28" s="8" t="str">
        <x:v>初见有礼，相处随心；愿今天聊得愉快，往后各有欢喜。
借这一杯，敬大家。</x:v>
      </x:c>
      <x:c r="H28" s="8" t="str">
        <x:v>第一次见面，能坐下来好好说话，就已经是很好的开始。借这一杯，敬今天的相识。愿我们都从容一点，真诚一点；此刻聊得愉快，往后的日子各有欢喜。
借这一杯，敬大家。</x:v>
      </x:c>
      <x:c r="I28" s="8" t="str">
        <x:v>To a lovely first meeting and an easy, honest conversation.</x:v>
      </x:c>
      <x:c r="J28" s="8" t="str">
        <x:v>敬美好的初见，也愿交谈轻松真诚。</x:v>
      </x:c>
      <x:c r="K28" s="8" t="str">
        <x:v>rhythm</x:v>
      </x:c>
      <x:c r="L28" s="8" t="str">
        <x:v>把话写给耳朵听</x:v>
      </x:c>
      <x:c r="M28" s="8" t="str"/>
      <x:c r="N28" s="8" t="str">
        <x:v>初次相亲或约会，不暗示已确立关系。</x:v>
      </x:c>
      <x:c r="O28" s="8" t="str">
        <x:v>未限定</x:v>
      </x:c>
      <x:c r="P28" s="8" t="str">
        <x:v>未限定</x:v>
      </x:c>
      <x:c r="Q28" s="8" t="str">
        <x:v>未限定</x:v>
      </x:c>
      <x:c r="R28" s="8" t="str">
        <x:v>依据表达方法整理</x:v>
      </x:c>
      <x:c r="S28" s="8" t="str">
        <x:v>雅致</x:v>
      </x:c>
      <x:c r="T28" s="8" t="str"/>
      <x:c r="U28" s="8" t="str"/>
      <x:c r="V28" s="8" t="str">
        <x:v>初见有礼，相处随心；愿今天聊得愉快，往后各有欢喜。</x:v>
      </x:c>
      <x:c r="W28" s="8" t="str">
        <x:v>第一次见面，能坐下来好好说话，就已经是很好的开始。借这一杯，敬今天的相识。愿我们都从容一点，真诚一点；此刻聊得愉快，往后的日子各有欢喜。</x:v>
      </x:c>
      <x:c r="X28" s="8" t="str"/>
      <x:c r="Y28" s="8" t="str"/>
      <x:c r="Z28" s="8" t="str"/>
      <x:c r="AA28" s="12" t="str"/>
    </x:row>
    <x:row r="29" ht="57" customHeight="1">
      <x:c r="A29" s="9" t="str">
        <x:v>dating-02</x:v>
      </x:c>
      <x:c r="B29" s="11" t="n">
        <x:v>1</x:v>
      </x:c>
      <x:c r="C29" s="9" t="str">
        <x:v>当前推荐</x:v>
      </x:c>
      <x:c r="D29" s="9" t="str">
        <x:v>相亲约会</x:v>
      </x:c>
      <x:c r="E29" s="9" t="str">
        <x:v>全桌</x:v>
      </x:c>
      <x:c r="F29" s="9" t="str">
        <x:v>把故事慢慢讲</x:v>
      </x:c>
      <x:c r="G29" s="9" t="str">
        <x:v>相识有缘，了解有时；愿好故事慢慢讲，好心情慢慢来。
借这一杯，敬大家。</x:v>
      </x:c>
      <x:c r="H29" s="9" t="str">
        <x:v>彼此的故事都很长，今天先从这一席慢慢认识。借这一杯，愿我们说话自在，听得用心。相识有缘，了解有时；愿今晚留下一份愉快，也留一点期待。
借这一杯，敬大家。</x:v>
      </x:c>
      <x:c r="I29" s="9" t="str">
        <x:v>To taking our time, listening well, and enjoying this evening.</x:v>
      </x:c>
      <x:c r="J29" s="9" t="str">
        <x:v>愿慢慢了解、认真倾听，享受此刻相聚。</x:v>
      </x:c>
      <x:c r="K29" s="9" t="str">
        <x:v>rhythm</x:v>
      </x:c>
      <x:c r="L29" s="9" t="str">
        <x:v>把话写给耳朵听</x:v>
      </x:c>
      <x:c r="M29" s="9" t="str"/>
      <x:c r="N29" s="9" t="str">
        <x:v>“期待”点到为止，不替对方许诺再见。</x:v>
      </x:c>
      <x:c r="O29" s="9" t="str">
        <x:v>未限定</x:v>
      </x:c>
      <x:c r="P29" s="9" t="str">
        <x:v>未限定</x:v>
      </x:c>
      <x:c r="Q29" s="9" t="str">
        <x:v>未限定</x:v>
      </x:c>
      <x:c r="R29" s="9" t="str">
        <x:v>依据表达方法整理</x:v>
      </x:c>
      <x:c r="S29" s="9" t="str">
        <x:v>雅致</x:v>
      </x:c>
      <x:c r="T29" s="9" t="str"/>
      <x:c r="U29" s="9" t="str"/>
      <x:c r="V29" s="9" t="str">
        <x:v>相识有缘，了解有时；愿好故事慢慢讲，好心情慢慢来。</x:v>
      </x:c>
      <x:c r="W29" s="9" t="str">
        <x:v>彼此的故事都很长，今天先从这一席慢慢认识。借这一杯，愿我们说话自在，听得用心。相识有缘，了解有时；愿今晚留下一份愉快，也留一点期待。</x:v>
      </x:c>
      <x:c r="X29" s="9" t="str"/>
      <x:c r="Y29" s="9" t="str"/>
      <x:c r="Z29" s="9" t="str"/>
      <x:c r="AA29" s="12" t="str"/>
    </x:row>
    <x:row r="30" ht="57" customHeight="1">
      <x:c r="A30" s="8" t="str">
        <x:v>dating-03</x:v>
      </x:c>
      <x:c r="B30" s="10" t="n">
        <x:v>1</x:v>
      </x:c>
      <x:c r="C30" s="8" t="str">
        <x:v>当前推荐</x:v>
      </x:c>
      <x:c r="D30" s="8" t="str">
        <x:v>相亲约会</x:v>
      </x:c>
      <x:c r="E30" s="8" t="str">
        <x:v>全桌</x:v>
      </x:c>
      <x:c r="F30" s="8" t="str">
        <x:v>先敬轻松</x:v>
      </x:c>
      <x:c r="G30" s="8" t="str">
        <x:v>今天先敬轻松：问题不必像面试，答案不必像简历。愿我们聊得自在。
借这一杯，敬大家。</x:v>
      </x:c>
      <x:c r="H30" s="8" t="str">
        <x:v>今天先敬轻松一杯：问题不必像面试，答案不必像简历。愿我们少一点标准答案，多一点真实想法；吃得合口，聊得投缘，把这次见面过得自在一点。
借这一杯，敬大家。</x:v>
      </x:c>
      <x:c r="I30" s="8" t="str">
        <x:v>Less like an interview, more like a good conversation. Here’s to a relaxed evening.</x:v>
      </x:c>
      <x:c r="J30" s="8" t="str">
        <x:v>少一点面试感，多一点好交谈；祝今晚轻松愉快。</x:v>
      </x:c>
      <x:c r="K30" s="8" t="str">
        <x:v>rhythm</x:v>
      </x:c>
      <x:c r="L30" s="8" t="str">
        <x:v>把话写给耳朵听</x:v>
      </x:c>
      <x:c r="M30" s="8" t="str"/>
      <x:c r="N30" s="8" t="str">
        <x:v>只有双方气氛已放松时使用。</x:v>
      </x:c>
      <x:c r="O30" s="8" t="str">
        <x:v>未限定</x:v>
      </x:c>
      <x:c r="P30" s="8" t="str">
        <x:v>未限定</x:v>
      </x:c>
      <x:c r="Q30" s="8" t="str">
        <x:v>未限定</x:v>
      </x:c>
      <x:c r="R30" s="8" t="str">
        <x:v>依据表达方法整理</x:v>
      </x:c>
      <x:c r="S30" s="8" t="str">
        <x:v>诙谐</x:v>
      </x:c>
      <x:c r="T30" s="8" t="str"/>
      <x:c r="U30" s="8" t="str"/>
      <x:c r="V30" s="8" t="str">
        <x:v>今天先敬轻松：问题不必像面试，答案不必像简历。愿我们聊得自在。</x:v>
      </x:c>
      <x:c r="W30" s="8" t="str">
        <x:v>今天先敬轻松一杯：问题不必像面试，答案不必像简历。愿我们少一点标准答案，多一点真实想法；吃得合口，聊得投缘，把这次见面过得自在一点。</x:v>
      </x:c>
      <x:c r="X30" s="8" t="str"/>
      <x:c r="Y30" s="8" t="str"/>
      <x:c r="Z30" s="8" t="str"/>
      <x:c r="AA30" s="12" t="str"/>
    </x:row>
    <x:row r="31" ht="57" customHeight="1">
      <x:c r="A31" s="9" t="str">
        <x:v>dating-verse-01</x:v>
      </x:c>
      <x:c r="B31" s="11" t="n">
        <x:v>1</x:v>
      </x:c>
      <x:c r="C31" s="9" t="str">
        <x:v>当前推荐</x:v>
      </x:c>
      <x:c r="D31" s="9" t="str">
        <x:v>相亲约会</x:v>
      </x:c>
      <x:c r="E31" s="9" t="str">
        <x:v>全桌</x:v>
      </x:c>
      <x:c r="F31" s="9" t="str">
        <x:v>一觞之间，慢慢了解</x:v>
      </x:c>
      <x:c r="G31" s="9" t="str">
        <x:v>古人“一觞一咏”，畅叙心意；今天愿我们说得自在，听得用心。
借这一杯，敬大家。</x:v>
      </x:c>
      <x:c r="H31" s="9" t="str">
        <x:v>古人“一觞一咏”，就能畅叙心意。今天不必急着把故事讲完，先把这一席过得自在。借这一杯，愿我们说得真诚，听得用心；初见有欢喜，相处有从容。
借这一杯，敬大家。</x:v>
      </x:c>
      <x:c r="I31" s="9" t="str">
        <x:v>To honest words, attentive listening, and taking our time to get acquainted.</x:v>
      </x:c>
      <x:c r="J31" s="9" t="str">
        <x:v>敬真诚交谈、认真倾听，也愿慢慢了解彼此。</x:v>
      </x:c>
      <x:c r="K31" s="9" t="str">
        <x:v>lanting</x:v>
      </x:c>
      <x:c r="L31" s="9" t="str">
        <x:v>王羲之《兰亭集序》</x:v>
      </x:c>
      <x:c r="M31" s="9" t="str">
        <x:v>一觞一咏，亦足以畅叙幽情。</x:v>
      </x:c>
      <x:c r="N31" s="9" t="str">
        <x:v>幽情不是专指爱情，不暗示已建立亲密关系。</x:v>
      </x:c>
      <x:c r="O31" s="9" t="str">
        <x:v>未限定</x:v>
      </x:c>
      <x:c r="P31" s="9" t="str">
        <x:v>未限定</x:v>
      </x:c>
      <x:c r="Q31" s="9" t="str">
        <x:v>未限定</x:v>
      </x:c>
      <x:c r="R31" s="9" t="str">
        <x:v>引句后整理</x:v>
      </x:c>
      <x:c r="S31" s="9" t="str">
        <x:v>雅致</x:v>
      </x:c>
      <x:c r="T31" s="9" t="str"/>
      <x:c r="U31" s="9" t="str"/>
      <x:c r="V31" s="9" t="str">
        <x:v>古人“一觞一咏”，畅叙心意；今天愿我们说得自在，听得用心。</x:v>
      </x:c>
      <x:c r="W31" s="9" t="str">
        <x:v>古人“一觞一咏”，就能畅叙心意。今天不必急着把故事讲完，先把这一席过得自在。借这一杯，愿我们说得真诚，听得用心；初见有欢喜，相处有从容。</x:v>
      </x:c>
      <x:c r="X31" s="9" t="str"/>
      <x:c r="Y31" s="9" t="str"/>
      <x:c r="Z31" s="9" t="str"/>
      <x:c r="AA31" s="12" t="str"/>
    </x:row>
    <x:row r="32" ht="57" customHeight="1">
      <x:c r="A32" s="8" t="str">
        <x:v>dating-verse-02</x:v>
      </x:c>
      <x:c r="B32" s="10" t="n">
        <x:v>1</x:v>
      </x:c>
      <x:c r="C32" s="8" t="str">
        <x:v>当前推荐</x:v>
      </x:c>
      <x:c r="D32" s="8" t="str">
        <x:v>相亲约会</x:v>
      </x:c>
      <x:c r="E32" s="8" t="str">
        <x:v>全桌</x:v>
      </x:c>
      <x:c r="F32" s="8" t="str">
        <x:v>欣于所遇，自在于心</x:v>
      </x:c>
      <x:c r="G32" s="8" t="str">
        <x:v>借古人“欣于所遇”的心意，愿今天聊得愉快，也都自在做自己。
借这一杯，敬大家。</x:v>
      </x:c>
      <x:c r="H32" s="8" t="str">
        <x:v>《兰亭集序》里有“欣于所遇”。今天借这四个字，祝我们都能享受此刻的交谈。相识不必急，了解慢慢来；愿说话有真意，听话有耐心，留一份愉快，也留一份从容。
借这一杯，敬大家。</x:v>
      </x:c>
      <x:c r="I32" s="8" t="str">
        <x:v>May we enjoy this conversation and feel free to be ourselves.</x:v>
      </x:c>
      <x:c r="J32" s="8" t="str">
        <x:v>愿我们享受交谈，也自在地做自己。</x:v>
      </x:c>
      <x:c r="K32" s="8" t="str">
        <x:v>lantingMeet</x:v>
      </x:c>
      <x:c r="L32" s="8" t="str">
        <x:v>欣于所遇，珍惜此刻</x:v>
      </x:c>
      <x:c r="M32" s="8" t="str">
        <x:v>欣于所遇</x:v>
      </x:c>
      <x:c r="N32" s="8" t="str">
        <x:v>只祝此刻愉快，不替对方许诺下一次见面。</x:v>
      </x:c>
      <x:c r="O32" s="8" t="str">
        <x:v>未限定</x:v>
      </x:c>
      <x:c r="P32" s="8" t="str">
        <x:v>未限定</x:v>
      </x:c>
      <x:c r="Q32" s="8" t="str">
        <x:v>未限定</x:v>
      </x:c>
      <x:c r="R32" s="8" t="str">
        <x:v>引句后整理</x:v>
      </x:c>
      <x:c r="S32" s="8" t="str">
        <x:v>雅致</x:v>
      </x:c>
      <x:c r="T32" s="8" t="str"/>
      <x:c r="U32" s="8" t="str"/>
      <x:c r="V32" s="8" t="str">
        <x:v>借古人“欣于所遇”的心意，愿今天聊得愉快，也都自在做自己。</x:v>
      </x:c>
      <x:c r="W32" s="8" t="str">
        <x:v>《兰亭集序》里有“欣于所遇”。今天借这四个字，祝我们都能享受此刻的交谈。相识不必急，了解慢慢来；愿说话有真意，听话有耐心，留一份愉快，也留一份从容。</x:v>
      </x:c>
      <x:c r="X32" s="8" t="str"/>
      <x:c r="Y32" s="8" t="str"/>
      <x:c r="Z32" s="8" t="str"/>
      <x:c r="AA32" s="12" t="str"/>
    </x:row>
    <x:row r="33" ht="57" customHeight="1">
      <x:c r="A33" s="9" t="str">
        <x:v>r04-ci-14-1</x:v>
      </x:c>
      <x:c r="B33" s="11" t="n">
        <x:v>1</x:v>
      </x:c>
      <x:c r="C33" s="9" t="str">
        <x:v>当前推荐</x:v>
      </x:c>
      <x:c r="D33" s="9" t="str">
        <x:v>相亲约会</x:v>
      </x:c>
      <x:c r="E33" s="9" t="str">
        <x:v>全桌</x:v>
      </x:c>
      <x:c r="F33" s="9" t="str">
        <x:v>把相逢看重一点</x:v>
      </x:c>
      <x:c r="G33" s="9" t="str">
        <x:v>借秦观的一句：“金风玉露一相逢，便胜却人间无数。”不借这句许什么远大的承诺，就说今天见面很高兴。谢谢你愿意留出时间，咱们先把彼此慢慢认识清楚。</x:v>
      </x:c>
      <x:c r="H33" s="9" t="str">
        <x:v>借秦观的一句：“金风玉露一相逢，便胜却人间无数。”不借这句许什么远大的承诺，就说今天见面很高兴。谢谢你愿意留出时间，咱们先把彼此慢慢认识清楚。
这杯敬今天这一面，愿彼此都轻松，也都真诚。</x:v>
      </x:c>
      <x:c r="I33" s="9" t="str">
        <x:v>To making time for a meeting that matters.</x:v>
      </x:c>
      <x:c r="J33" s="9" t="str">
        <x:v>愿为值得相见的人留出时间。</x:v>
      </x:c>
      <x:c r="K33" s="9" t="str">
        <x:v>r04-ci-14</x:v>
      </x:c>
      <x:c r="L33" s="9" t="str">
        <x:v>秦观《鹊桥仙·纤云弄巧》</x:v>
      </x:c>
      <x:c r="M33" s="9" t="str">
        <x:v>金风玉露一相逢，便胜却人间无数。</x:v>
      </x:c>
      <x:c r="N33" s="9" t="str">
        <x:v>七夕牛女相会的爱情词；初识不许诺久长，不把传说当史实。</x:v>
      </x:c>
      <x:c r="O33" s="9" t="str">
        <x:v>随席取意</x:v>
      </x:c>
      <x:c r="P33" s="9" t="str">
        <x:v>未限定</x:v>
      </x:c>
      <x:c r="Q33" s="9" t="str">
        <x:v>未限定</x:v>
      </x:c>
      <x:c r="R33" s="9" t="str">
        <x:v>引句后整理</x:v>
      </x:c>
      <x:c r="S33" s="9" t="str">
        <x:v>雅致</x:v>
      </x:c>
      <x:c r="T33" s="9" t="str">
        <x:v>我以茶代酒，心意一样真。</x:v>
      </x:c>
      <x:c r="U33" s="9" t="str">
        <x:v>With tea in my cup and the same warm wishes.</x:v>
      </x:c>
      <x:c r="V33" s="9" t="str">
        <x:v>借秦观的一句：“金风玉露一相逢，便胜却人间无数。”不借这句许什么远大的承诺，就说今天见面很高兴。谢谢你愿意留出时间，咱们先把彼此慢慢认识清楚。</x:v>
      </x:c>
      <x:c r="W33" s="9" t="str">
        <x:v>借秦观的一句：“金风玉露一相逢，便胜却人间无数。”不借这句许什么远大的承诺，就说今天见面很高兴。谢谢你愿意留出时间，咱们先把彼此慢慢认识清楚。
这杯敬今天这一面，愿彼此都轻松，也都真诚。</x:v>
      </x:c>
      <x:c r="X33" s="9" t="str">
        <x:v>spoken</x:v>
      </x:c>
      <x:c r="Y33" s="9" t="str">
        <x:v>verse-1</x:v>
      </x:c>
      <x:c r="Z33" s="9" t="str"/>
      <x:c r="AA33" s="12" t="str"/>
    </x:row>
    <x:row r="34" ht="72" customHeight="1">
      <x:c r="A34" s="8" t="str">
        <x:v>r04-ci-25-2</x:v>
      </x:c>
      <x:c r="B34" s="10" t="n">
        <x:v>1</x:v>
      </x:c>
      <x:c r="C34" s="8" t="str">
        <x:v>当前推荐</x:v>
      </x:c>
      <x:c r="D34" s="8" t="str">
        <x:v>相亲约会</x:v>
      </x:c>
      <x:c r="E34" s="8" t="str">
        <x:v>全桌</x:v>
      </x:c>
      <x:c r="F34" s="8" t="str">
        <x:v>笑着就不生分 · 再说一句</x:v>
      </x:c>
      <x:c r="G34" s="8" t="str">
        <x:v>初次见面，先把拘束放一放。很高兴认识你，愿今天有好话题，也有轻松的笑，其他的慢慢了解。借诗词中的一句：“笑指芭蕉林里住。”</x:v>
      </x:c>
      <x:c r="H34" s="8" t="str">
        <x:v>初次见面，先把拘束放一放。很高兴认识你，愿今天有好话题，也有轻松的笑，其他的慢慢了解。
欧阳炯在《南乡子·画舸停桡》里写道：“笑指芭蕉林里住。”这杯敬今天这一面，愿彼此都轻松，也都真诚。</x:v>
      </x:c>
      <x:c r="I34" s="8" t="str">
        <x:v>To a natural first conversation and the pleasure of getting acquainted. Here is to another good day together.</x:v>
      </x:c>
      <x:c r="J34" s="8" t="str">
        <x:v>愿初识交谈自然，也享受慢慢认识的过程。也盼再有同聚的好日子。</x:v>
      </x:c>
      <x:c r="K34" s="8" t="str">
        <x:v>r04-ci-25</x:v>
      </x:c>
      <x:c r="L34" s="8" t="str">
        <x:v>欧阳炯《南乡子·画舸停桡》</x:v>
      </x:c>
      <x:c r="M34" s="8" t="str">
        <x:v>笑指芭蕉林里住。</x:v>
      </x:c>
      <x:c r="N34" s="8" t="str">
        <x:v>南方水乡人物风情，女指住处；借自然相识，不预设邀约或对方住址。</x:v>
      </x:c>
      <x:c r="O34" s="8" t="str">
        <x:v>随席取意</x:v>
      </x:c>
      <x:c r="P34" s="8" t="str">
        <x:v>未限定</x:v>
      </x:c>
      <x:c r="Q34" s="8" t="str">
        <x:v>未限定</x:v>
      </x:c>
      <x:c r="R34" s="8" t="str">
        <x:v>引句后整理</x:v>
      </x:c>
      <x:c r="S34" s="8" t="str">
        <x:v>雅致</x:v>
      </x:c>
      <x:c r="T34" s="8" t="str">
        <x:v>我以茶代酒，心意一样真。</x:v>
      </x:c>
      <x:c r="U34" s="8" t="str">
        <x:v>With tea in my cup and the same warm wishes.</x:v>
      </x:c>
      <x:c r="V34" s="8" t="str">
        <x:v>初次见面，先把拘束放一放。很高兴认识你，愿今天有好话题，也有轻松的笑，其他的慢慢了解。借诗词中的一句：“笑指芭蕉林里住。”</x:v>
      </x:c>
      <x:c r="W34" s="8" t="str">
        <x:v>初次见面，先把拘束放一放。很高兴认识你，愿今天有好话题，也有轻松的笑，其他的慢慢了解。
欧阳炯在《南乡子·画舸停桡》里写道：“笑指芭蕉林里住。”这杯敬今天这一面，愿彼此都轻松，也都真诚。</x:v>
      </x:c>
      <x:c r="X34" s="8" t="str">
        <x:v>spoken</x:v>
      </x:c>
      <x:c r="Y34" s="8" t="str">
        <x:v>verse-0</x:v>
      </x:c>
      <x:c r="Z34" s="8" t="str"/>
      <x:c r="AA34" s="12" t="str"/>
    </x:row>
    <x:row r="35" ht="57" customHeight="1">
      <x:c r="A35" s="9" t="str">
        <x:v>r04-shi-1001-1</x:v>
      </x:c>
      <x:c r="B35" s="11" t="n">
        <x:v>1</x:v>
      </x:c>
      <x:c r="C35" s="9" t="str">
        <x:v>当前推荐</x:v>
      </x:c>
      <x:c r="D35" s="9" t="str">
        <x:v>相亲约会</x:v>
      </x:c>
      <x:c r="E35" s="9" t="str">
        <x:v>全桌</x:v>
      </x:c>
      <x:c r="F35" s="9" t="str">
        <x:v>把相见看重</x:v>
      </x:c>
      <x:c r="G35" s="9" t="str">
        <x:v>借《诗经》的一句：“鲜我觏尔，我心写兮。”原诗写新婚，我只借相见后心里舒展的那份高兴。今天认识你，很愉快；接下来就慢慢聊，不着急。</x:v>
      </x:c>
      <x:c r="H35" s="9" t="str">
        <x:v>借《诗经》的一句：“鲜我觏尔，我心写兮。”原诗写新婚，我只借相见后心里舒展的那份高兴。今天认识你，很愉快；接下来就慢慢聊，不着急。
这杯敬今天这一面，愿彼此都轻松，也都真诚。</x:v>
      </x:c>
      <x:c r="I35" s="9" t="str">
        <x:v>To a meeting that leaves us smiling, with no need to rush what comes next.</x:v>
      </x:c>
      <x:c r="J35" s="9" t="str">
        <x:v>愿相见有笑，也不必急着安排以后。</x:v>
      </x:c>
      <x:c r="K35" s="9" t="str">
        <x:v>r04-shi-1001</x:v>
      </x:c>
      <x:c r="L35" s="9" t="str">
        <x:v>《诗经·车舝》</x:v>
      </x:c>
      <x:c r="M35" s="9" t="str">
        <x:v>鲜我觏尔，我心写兮。</x:v>
      </x:c>
      <x:c r="N35" s="9" t="str">
        <x:v>原为迎娶与婚姻喜悦；借相见之喜时明确不作双方关系承诺。</x:v>
      </x:c>
      <x:c r="O35" s="9" t="str">
        <x:v>随席取意</x:v>
      </x:c>
      <x:c r="P35" s="9" t="str">
        <x:v>未限定</x:v>
      </x:c>
      <x:c r="Q35" s="9" t="str">
        <x:v>未限定</x:v>
      </x:c>
      <x:c r="R35" s="9" t="str">
        <x:v>引句后整理</x:v>
      </x:c>
      <x:c r="S35" s="9" t="str">
        <x:v>雅致</x:v>
      </x:c>
      <x:c r="T35" s="9" t="str">
        <x:v>我以茶代酒，心意一样真。</x:v>
      </x:c>
      <x:c r="U35" s="9" t="str">
        <x:v>With tea in my cup and the same warm wishes.</x:v>
      </x:c>
      <x:c r="V35" s="9" t="str">
        <x:v>借《诗经》的一句：“鲜我觏尔，我心写兮。”原诗写新婚，我只借相见后心里舒展的那份高兴。今天认识你，很愉快；接下来就慢慢聊，不着急。</x:v>
      </x:c>
      <x:c r="W35" s="9" t="str">
        <x:v>借《诗经》的一句：“鲜我觏尔，我心写兮。”原诗写新婚，我只借相见后心里舒展的那份高兴。今天认识你，很愉快；接下来就慢慢聊，不着急。
这杯敬今天这一面，愿彼此都轻松，也都真诚。</x:v>
      </x:c>
      <x:c r="X35" s="9" t="str">
        <x:v>spoken</x:v>
      </x:c>
      <x:c r="Y35" s="9" t="str">
        <x:v>verse-3</x:v>
      </x:c>
      <x:c r="Z35" s="9" t="str"/>
      <x:c r="AA35" s="12" t="str"/>
    </x:row>
    <x:row r="36" ht="57" customHeight="1">
      <x:c r="A36" s="8" t="str">
        <x:v>r04-shi-339-1</x:v>
      </x:c>
      <x:c r="B36" s="10" t="n">
        <x:v>1</x:v>
      </x:c>
      <x:c r="C36" s="8" t="str">
        <x:v>当前推荐</x:v>
      </x:c>
      <x:c r="D36" s="8" t="str">
        <x:v>相亲约会</x:v>
      </x:c>
      <x:c r="E36" s="8" t="str">
        <x:v>全桌</x:v>
      </x:c>
      <x:c r="F36" s="8" t="str">
        <x:v>把人的好记住</x:v>
      </x:c>
      <x:c r="G36" s="8" t="str">
        <x:v>《诗经·有女同车》写道：“德音不忘。”古人记得人的好，不只因为好看。今天能坐下来认识你，很高兴；咱们慢慢聊，不急着把话说满。</x:v>
      </x:c>
      <x:c r="H36" s="8" t="str">
        <x:v>《诗经·有女同车》写道：“德音不忘。”古人记得人的好，不只因为好看。今天能坐下来认识你，很高兴；咱们慢慢聊，不急着把话说满。
这杯敬今天这一面，愿彼此都轻松，也都真诚。</x:v>
      </x:c>
      <x:c r="I36" s="8" t="str">
        <x:v>To knowing a person beyond first impressions and remembering their kindness.</x:v>
      </x:c>
      <x:c r="J36" s="8" t="str">
        <x:v>愿慢慢了解一个人，也记得其好意。</x:v>
      </x:c>
      <x:c r="K36" s="8" t="str">
        <x:v>r04-shi-339</x:v>
      </x:c>
      <x:c r="L36" s="8" t="str">
        <x:v>《诗经·有女同车》</x:v>
      </x:c>
      <x:c r="M36" s="8" t="str">
        <x:v>德音不忘。</x:v>
      </x:c>
      <x:c r="N36" s="8" t="str">
        <x:v>恋歌赞美人的容貌与品德；借不忘好意，不把初识写成已相爱。</x:v>
      </x:c>
      <x:c r="O36" s="8" t="str">
        <x:v>随席取意</x:v>
      </x:c>
      <x:c r="P36" s="8" t="str">
        <x:v>未限定</x:v>
      </x:c>
      <x:c r="Q36" s="8" t="str">
        <x:v>未限定</x:v>
      </x:c>
      <x:c r="R36" s="8" t="str">
        <x:v>引句后整理</x:v>
      </x:c>
      <x:c r="S36" s="8" t="str">
        <x:v>雅致</x:v>
      </x:c>
      <x:c r="T36" s="8" t="str">
        <x:v>我以茶代酒，心意一样真。</x:v>
      </x:c>
      <x:c r="U36" s="8" t="str">
        <x:v>With tea in my cup and the same warm wishes.</x:v>
      </x:c>
      <x:c r="V36" s="8" t="str">
        <x:v>《诗经·有女同车》写道：“德音不忘。”古人记得人的好，不只因为好看。今天能坐下来认识你，很高兴；咱们慢慢聊，不急着把话说满。</x:v>
      </x:c>
      <x:c r="W36" s="8" t="str">
        <x:v>《诗经·有女同车》写道：“德音不忘。”古人记得人的好，不只因为好看。今天能坐下来认识你，很高兴；咱们慢慢聊，不急着把话说满。
这杯敬今天这一面，愿彼此都轻松，也都真诚。</x:v>
      </x:c>
      <x:c r="X36" s="8" t="str">
        <x:v>spoken</x:v>
      </x:c>
      <x:c r="Y36" s="8" t="str">
        <x:v>verse-0</x:v>
      </x:c>
      <x:c r="Z36" s="8" t="str"/>
      <x:c r="AA36" s="12" t="str"/>
    </x:row>
    <x:row r="37" ht="57" customHeight="1">
      <x:c r="A37" s="9" t="str">
        <x:v>r04-shi-369-1</x:v>
      </x:c>
      <x:c r="B37" s="11" t="n">
        <x:v>1</x:v>
      </x:c>
      <x:c r="C37" s="9" t="str">
        <x:v>当前推荐</x:v>
      </x:c>
      <x:c r="D37" s="9" t="str">
        <x:v>相亲约会</x:v>
      </x:c>
      <x:c r="E37" s="9" t="str">
        <x:v>全桌</x:v>
      </x:c>
      <x:c r="F37" s="9" t="str">
        <x:v>初见不急着说满</x:v>
      </x:c>
      <x:c r="G37" s="9" t="str">
        <x:v>《诗经》里有一句：“邂逅相遇，适我愿兮。”原诗写相遇的欢喜。今天我也很高兴认识你，先从这杯和这顿饭聊起，别的慢慢来。</x:v>
      </x:c>
      <x:c r="H37" s="9" t="str">
        <x:v>《诗经》里有一句：“邂逅相遇，适我愿兮。”原诗写相遇的欢喜。今天我也很高兴认识你，先从这杯和这顿饭聊起，别的慢慢来。
这杯敬今天这一面，愿彼此都轻松，也都真诚。</x:v>
      </x:c>
      <x:c r="I37" s="9" t="str">
        <x:v>To an unexpected meeting and an unhurried beginning.</x:v>
      </x:c>
      <x:c r="J37" s="9" t="str">
        <x:v>敬不期而遇，也愿开始从容。</x:v>
      </x:c>
      <x:c r="K37" s="9" t="str">
        <x:v>r04-shi-369</x:v>
      </x:c>
      <x:c r="L37" s="9" t="str">
        <x:v>《诗经·野有蔓草》</x:v>
      </x:c>
      <x:c r="M37" s="9" t="str">
        <x:v>邂逅相遇，适我愿兮。</x:v>
      </x:c>
      <x:c r="N37" s="9" t="str">
        <x:v>男女相遇的情歌；初识只取相逢之喜，不替对方表白。</x:v>
      </x:c>
      <x:c r="O37" s="9" t="str">
        <x:v>随席取意</x:v>
      </x:c>
      <x:c r="P37" s="9" t="str">
        <x:v>未限定</x:v>
      </x:c>
      <x:c r="Q37" s="9" t="str">
        <x:v>未限定</x:v>
      </x:c>
      <x:c r="R37" s="9" t="str">
        <x:v>引句后整理</x:v>
      </x:c>
      <x:c r="S37" s="9" t="str">
        <x:v>雅致</x:v>
      </x:c>
      <x:c r="T37" s="9" t="str">
        <x:v>我以茶代酒，心意一样真。</x:v>
      </x:c>
      <x:c r="U37" s="9" t="str">
        <x:v>With tea in my cup and the same warm wishes.</x:v>
      </x:c>
      <x:c r="V37" s="9" t="str">
        <x:v>《诗经》里有一句：“邂逅相遇，适我愿兮。”原诗写相遇的欢喜。今天我也很高兴认识你，先从这杯和这顿饭聊起，别的慢慢来。</x:v>
      </x:c>
      <x:c r="W37" s="9" t="str">
        <x:v>《诗经》里有一句：“邂逅相遇，适我愿兮。”原诗写相遇的欢喜。今天我也很高兴认识你，先从这杯和这顿饭聊起，别的慢慢来。
这杯敬今天这一面，愿彼此都轻松，也都真诚。</x:v>
      </x:c>
      <x:c r="X37" s="9" t="str">
        <x:v>spoken</x:v>
      </x:c>
      <x:c r="Y37" s="9" t="str">
        <x:v>verse-2</x:v>
      </x:c>
      <x:c r="Z37" s="9" t="str"/>
      <x:c r="AA37" s="12" t="str"/>
    </x:row>
    <x:row r="38" ht="72" customHeight="1">
      <x:c r="A38" s="8" t="str">
        <x:v>r04-story-15-2</x:v>
      </x:c>
      <x:c r="B38" s="10" t="n">
        <x:v>1</x:v>
      </x:c>
      <x:c r="C38" s="8" t="str">
        <x:v>当前推荐</x:v>
      </x:c>
      <x:c r="D38" s="8" t="str">
        <x:v>相亲约会</x:v>
      </x:c>
      <x:c r="E38" s="8" t="str">
        <x:v>全桌</x:v>
      </x:c>
      <x:c r="F38" s="8" t="str">
        <x:v>聊点真正喜欢的 · 再说一句</x:v>
      </x:c>
      <x:c r="G38" s="8" t="str">
        <x:v>比起照着问题一项项问，我更想听听你平时喜欢什么。敬今天认识，愿聊得自在，也慢慢看见彼此有趣的那一面。借这则旧事的一句：“而谈琴书愈妙。”</x:v>
      </x:c>
      <x:c r="H38" s="8" t="str">
        <x:v>比起照着问题一项项问，我更想听听你平时喜欢什么。敬今天认识，愿聊得自在，也慢慢看见彼此有趣的那一面。
《世说新语》里记载：“而谈琴书愈妙。”这杯敬今天这一面，愿彼此都轻松，也都真诚。</x:v>
      </x:c>
      <x:c r="I38" s="8" t="str">
        <x:v>To discovering the things another person truly enjoys. Here is to another good day together.</x:v>
      </x:c>
      <x:c r="J38" s="8" t="str">
        <x:v>愿慢慢发现另一个人真正喜欢的事。也盼再有同聚的好日子。</x:v>
      </x:c>
      <x:c r="K38" s="8" t="str">
        <x:v>r04-story-15</x:v>
      </x:c>
      <x:c r="L38" s="8" t="str">
        <x:v>《世说新语·雅量第三十四则》戴逵谈琴书</x:v>
      </x:c>
      <x:c r="M38" s="8" t="str">
        <x:v>而谈琴书愈妙。</x:v>
      </x:c>
      <x:c r="N38" s="8" t="str">
        <x:v>借从容分享所爱，不赞美轻视他人的试探；今天不预设双方有高下。</x:v>
      </x:c>
      <x:c r="O38" s="8" t="str">
        <x:v>随席取意</x:v>
      </x:c>
      <x:c r="P38" s="8" t="str">
        <x:v>未限定</x:v>
      </x:c>
      <x:c r="Q38" s="8" t="str">
        <x:v>未限定</x:v>
      </x:c>
      <x:c r="R38" s="8" t="str">
        <x:v>引句后整理</x:v>
      </x:c>
      <x:c r="S38" s="8" t="str">
        <x:v>雅致</x:v>
      </x:c>
      <x:c r="T38" s="8" t="str">
        <x:v>我以茶代酒，心意一样真。</x:v>
      </x:c>
      <x:c r="U38" s="8" t="str">
        <x:v>With tea in my cup and the same warm wishes.</x:v>
      </x:c>
      <x:c r="V38" s="8" t="str">
        <x:v>比起照着问题一项项问，我更想听听你平时喜欢什么。敬今天认识，愿聊得自在，也慢慢看见彼此有趣的那一面。借这则旧事的一句：“而谈琴书愈妙。”</x:v>
      </x:c>
      <x:c r="W38" s="8" t="str">
        <x:v>比起照着问题一项项问，我更想听听你平时喜欢什么。敬今天认识，愿聊得自在，也慢慢看见彼此有趣的那一面。
《世说新语》里记载：“而谈琴书愈妙。”这杯敬今天这一面，愿彼此都轻松，也都真诚。</x:v>
      </x:c>
      <x:c r="X38" s="8" t="str">
        <x:v>spoken</x:v>
      </x:c>
      <x:c r="Y38" s="8" t="str">
        <x:v>story-2</x:v>
      </x:c>
      <x:c r="Z38" s="8" t="str"/>
      <x:c r="AA38" s="12" t="str"/>
    </x:row>
    <x:row r="39" ht="72" customHeight="1">
      <x:c r="A39" s="9" t="str">
        <x:v>r04-story-24-2</x:v>
      </x:c>
      <x:c r="B39" s="11" t="n">
        <x:v>1</x:v>
      </x:c>
      <x:c r="C39" s="9" t="str">
        <x:v>当前推荐</x:v>
      </x:c>
      <x:c r="D39" s="9" t="str">
        <x:v>相亲约会</x:v>
      </x:c>
      <x:c r="E39" s="9" t="str">
        <x:v>全桌</x:v>
      </x:c>
      <x:c r="F39" s="9" t="str">
        <x:v>珍惜也留余地 · 再说一句</x:v>
      </x:c>
      <x:c r="G39" s="9" t="str">
        <x:v>相处舒服，也在给彼此留余地。今天很高兴认识你，愿咱们说话自在，来往从容，不急着替对方安排答案。借这则旧事的一句：“既有凌霄之姿，何肯为人作耳目近玩？”</x:v>
      </x:c>
      <x:c r="H39" s="9" t="str">
        <x:v>相处舒服，也在给彼此留余地。今天很高兴认识你，愿咱们说话自在，来往从容，不急着替对方安排答案。
《世说新语》里记载：“既有凌霄之姿，何肯为人作耳目近玩？”这杯敬今天这一面，愿彼此都轻松，也都真诚。</x:v>
      </x:c>
      <x:c r="I39" s="9" t="str">
        <x:v>To affection that leaves room for freedom and a journey of one's own. Here is to another good day together.</x:v>
      </x:c>
      <x:c r="J39" s="9" t="str">
        <x:v>愿珍惜彼此，也留有自由与各自前路。也盼再有同聚的好日子。</x:v>
      </x:c>
      <x:c r="K39" s="9" t="str">
        <x:v>r04-story-24</x:v>
      </x:c>
      <x:c r="L39" s="9" t="str">
        <x:v>《世说新语·言语第七十六则》支公放鹤</x:v>
      </x:c>
      <x:c r="M39" s="9" t="str">
        <x:v>既有凌霄之姿，何肯为人作耳目近玩？</x:v>
      </x:c>
      <x:c r="N39" s="9" t="str">
        <x:v>所供本原页山名用●标示，不臆补；借尊重天性、不强留之意，不模仿伤害鸟类。</x:v>
      </x:c>
      <x:c r="O39" s="9" t="str">
        <x:v>随席取意</x:v>
      </x:c>
      <x:c r="P39" s="9" t="str">
        <x:v>未限定</x:v>
      </x:c>
      <x:c r="Q39" s="9" t="str">
        <x:v>未限定</x:v>
      </x:c>
      <x:c r="R39" s="9" t="str">
        <x:v>引句后整理</x:v>
      </x:c>
      <x:c r="S39" s="9" t="str">
        <x:v>雅致</x:v>
      </x:c>
      <x:c r="T39" s="9" t="str">
        <x:v>我以茶代酒，心意一样真。</x:v>
      </x:c>
      <x:c r="U39" s="9" t="str">
        <x:v>With tea in my cup and the same warm wishes.</x:v>
      </x:c>
      <x:c r="V39" s="9" t="str">
        <x:v>相处舒服，也在给彼此留余地。今天很高兴认识你，愿咱们说话自在，来往从容，不急着替对方安排答案。借这则旧事的一句：“既有凌霄之姿，何肯为人作耳目近玩？”</x:v>
      </x:c>
      <x:c r="W39" s="9" t="str">
        <x:v>相处舒服，也在给彼此留余地。今天很高兴认识你，愿咱们说话自在，来往从容，不急着替对方安排答案。
《世说新语》里记载：“既有凌霄之姿，何肯为人作耳目近玩？”这杯敬今天这一面，愿彼此都轻松，也都真诚。</x:v>
      </x:c>
      <x:c r="X39" s="9" t="str">
        <x:v>spoken</x:v>
      </x:c>
      <x:c r="Y39" s="9" t="str">
        <x:v>story-3</x:v>
      </x:c>
      <x:c r="Z39" s="9" t="str"/>
      <x:c r="AA39" s="12" t="str"/>
    </x:row>
    <x:row r="40" ht="42" customHeight="1">
      <x:c r="A40" s="8" t="str">
        <x:v>spoken-date-01</x:v>
      </x:c>
      <x:c r="B40" s="10" t="n">
        <x:v>1</x:v>
      </x:c>
      <x:c r="C40" s="8" t="str">
        <x:v>当前推荐</x:v>
      </x:c>
      <x:c r="D40" s="8" t="str">
        <x:v>相亲约会</x:v>
      </x:c>
      <x:c r="E40" s="8" t="str">
        <x:v>全桌</x:v>
      </x:c>
      <x:c r="F40" s="8" t="str">
        <x:v>今天先聊开心</x:v>
      </x:c>
      <x:c r="G40" s="8" t="str">
        <x:v>很高兴今天见到你。咱们不着急，边吃边聊，把这顿饭吃开心就好。</x:v>
      </x:c>
      <x:c r="H40" s="8" t="str">
        <x:v>第一次见面，能坐下来聊聊，我挺高兴的。不用急着把所有事都说完，先从喜欢的东西慢慢聊起。这一杯，敬今天的相识，希望你也吃得舒服、聊得自在。</x:v>
      </x:c>
      <x:c r="I40" s="8" t="str">
        <x:v>It’s lovely to meet you. Let’s enjoy dinner and take our time getting acquainted.</x:v>
      </x:c>
      <x:c r="J40" s="8" t="str">
        <x:v>很高兴认识你，愿我们好好吃饭、慢慢了解。</x:v>
      </x:c>
      <x:c r="K40" s="8" t="str">
        <x:v>rhythm</x:v>
      </x:c>
      <x:c r="L40" s="8" t="str">
        <x:v>把话写给耳朵听</x:v>
      </x:c>
      <x:c r="M40" s="8" t="str"/>
      <x:c r="N40" s="8" t="str">
        <x:v>初见保留余地；把话说给面前的人听，不替对方许诺下一次见面。</x:v>
      </x:c>
      <x:c r="O40" s="8" t="str">
        <x:v>未限定</x:v>
      </x:c>
      <x:c r="P40" s="8" t="str">
        <x:v>未限定</x:v>
      </x:c>
      <x:c r="Q40" s="8" t="str">
        <x:v>未限定</x:v>
      </x:c>
      <x:c r="R40" s="8" t="str">
        <x:v>依据表达方法整理</x:v>
      </x:c>
      <x:c r="S40" s="8" t="str">
        <x:v>雅致</x:v>
      </x:c>
      <x:c r="T40" s="8" t="str">
        <x:v>今天我以茶代酒，咱们随意就好。</x:v>
      </x:c>
      <x:c r="U40" s="8" t="str">
        <x:v>I’m raising a cup of tea, with the same warm wishes.</x:v>
      </x:c>
      <x:c r="V40" s="8" t="str">
        <x:v>很高兴今天见到你。咱们不着急，边吃边聊，把这顿饭吃开心就好。</x:v>
      </x:c>
      <x:c r="W40" s="8" t="str">
        <x:v>第一次见面，能坐下来聊聊，我挺高兴的。不用急着把所有事都说完，先从喜欢的东西慢慢聊起。这一杯，敬今天的相识，希望你也吃得舒服、聊得自在。</x:v>
      </x:c>
      <x:c r="X40" s="8" t="str">
        <x:v>spoken</x:v>
      </x:c>
      <x:c r="Y40" s="8" t="str">
        <x:v>plain</x:v>
      </x:c>
      <x:c r="Z40" s="8" t="str"/>
      <x:c r="AA40" s="12" t="str"/>
    </x:row>
    <x:row r="41" ht="42" customHeight="1">
      <x:c r="A41" s="9" t="str">
        <x:v>spoken-date-02</x:v>
      </x:c>
      <x:c r="B41" s="11" t="n">
        <x:v>1</x:v>
      </x:c>
      <x:c r="C41" s="9" t="str">
        <x:v>当前推荐</x:v>
      </x:c>
      <x:c r="D41" s="9" t="str">
        <x:v>相亲约会</x:v>
      </x:c>
      <x:c r="E41" s="9" t="str">
        <x:v>全桌</x:v>
      </x:c>
      <x:c r="F41" s="9" t="str">
        <x:v>说点真的，比说得好重要</x:v>
      </x:c>
      <x:c r="G41" s="9" t="str">
        <x:v>漂亮话我可能说不多，不过很高兴认识你是真的。敬今天的见面，咱们自在一点。</x:v>
      </x:c>
      <x:c r="H41" s="9" t="str">
        <x:v>第一次见面，我也想留个好印象。不过想来想去，还是说点真的比较好：很高兴认识你，也愿意听你慢慢讲自己的故事。这杯敬你，祝今天是个轻松愉快的晚上。</x:v>
      </x:c>
      <x:c r="I41" s="9" t="str">
        <x:v>I’m glad to meet you, and I’d love to hear your stories. Here’s to a relaxed meal.</x:v>
      </x:c>
      <x:c r="J41" s="9" t="str">
        <x:v>很高兴认识你，也愿意听你的故事，祝今天轻松愉快。</x:v>
      </x:c>
      <x:c r="K41" s="9" t="str">
        <x:v>rhythm</x:v>
      </x:c>
      <x:c r="L41" s="9" t="str">
        <x:v>把话写给耳朵听</x:v>
      </x:c>
      <x:c r="M41" s="9" t="str"/>
      <x:c r="N41" s="9" t="str">
        <x:v>初见保留余地；把话说给面前的人听，不替对方许诺下一次见面。</x:v>
      </x:c>
      <x:c r="O41" s="9" t="str">
        <x:v>未限定</x:v>
      </x:c>
      <x:c r="P41" s="9" t="str">
        <x:v>未限定</x:v>
      </x:c>
      <x:c r="Q41" s="9" t="str">
        <x:v>未限定</x:v>
      </x:c>
      <x:c r="R41" s="9" t="str">
        <x:v>依据表达方法整理</x:v>
      </x:c>
      <x:c r="S41" s="9" t="str">
        <x:v>雅致</x:v>
      </x:c>
      <x:c r="T41" s="9" t="str">
        <x:v>我用茶敬你，很高兴今天见面。</x:v>
      </x:c>
      <x:c r="U41" s="9" t="str">
        <x:v>I’m raising a cup of tea, with the same warm wishes.</x:v>
      </x:c>
      <x:c r="V41" s="9" t="str">
        <x:v>漂亮话我可能说不多，不过很高兴认识你是真的。敬今天的见面，咱们自在一点。</x:v>
      </x:c>
      <x:c r="W41" s="9" t="str">
        <x:v>第一次见面，我也想留个好印象。不过想来想去，还是说点真的比较好：很高兴认识你，也愿意听你慢慢讲自己的故事。这杯敬你，祝今天是个轻松愉快的晚上。</x:v>
      </x:c>
      <x:c r="X41" s="9" t="str">
        <x:v>spoken</x:v>
      </x:c>
      <x:c r="Y41" s="9" t="str">
        <x:v>plain</x:v>
      </x:c>
      <x:c r="Z41" s="9" t="str"/>
      <x:c r="AA41" s="12" t="str"/>
    </x:row>
    <x:row r="42" ht="42" customHeight="1">
      <x:c r="A42" s="8" t="str">
        <x:v>spoken-date-03</x:v>
      </x:c>
      <x:c r="B42" s="10" t="n">
        <x:v>1</x:v>
      </x:c>
      <x:c r="C42" s="8" t="str">
        <x:v>当前推荐</x:v>
      </x:c>
      <x:c r="D42" s="8" t="str">
        <x:v>相亲约会</x:v>
      </x:c>
      <x:c r="E42" s="8" t="str">
        <x:v>全桌</x:v>
      </x:c>
      <x:c r="F42" s="8" t="str">
        <x:v>别把见面弄得太累</x:v>
      </x:c>
      <x:c r="G42" s="8" t="str">
        <x:v>今天先不急着聊出什么结论。能吃顿好饭，说几句心里话，就挺好。</x:v>
      </x:c>
      <x:c r="H42" s="8" t="str">
        <x:v>两个人第一次见面，难免会想怎么表现才好。今天咱们都放松一点，聊得来就多聊几句，停一停吃点东西也没关系。我先敬你，愿今天的见面是舒服的。</x:v>
      </x:c>
      <x:c r="I42" s="8" t="str">
        <x:v>No need to rush to conclusions. Let’s enjoy the meal and feel comfortable being ourselves.</x:v>
      </x:c>
      <x:c r="J42" s="8" t="str">
        <x:v>不用急着下结论，愿我们吃得开心，也自在做自己。</x:v>
      </x:c>
      <x:c r="K42" s="8" t="str">
        <x:v>rhythm</x:v>
      </x:c>
      <x:c r="L42" s="8" t="str">
        <x:v>把话写给耳朵听</x:v>
      </x:c>
      <x:c r="M42" s="8" t="str"/>
      <x:c r="N42" s="8" t="str">
        <x:v>初见保留余地；把话说给面前的人听，不替对方许诺下一次见面。</x:v>
      </x:c>
      <x:c r="O42" s="8" t="str">
        <x:v>未限定</x:v>
      </x:c>
      <x:c r="P42" s="8" t="str">
        <x:v>未限定</x:v>
      </x:c>
      <x:c r="Q42" s="8" t="str">
        <x:v>未限定</x:v>
      </x:c>
      <x:c r="R42" s="8" t="str">
        <x:v>依据表达方法整理</x:v>
      </x:c>
      <x:c r="S42" s="8" t="str">
        <x:v>雅致</x:v>
      </x:c>
      <x:c r="T42" s="8" t="str">
        <x:v>杯里是茶，心意一样。</x:v>
      </x:c>
      <x:c r="U42" s="8" t="str">
        <x:v>I’m raising a cup of tea, with the same warm wishes.</x:v>
      </x:c>
      <x:c r="V42" s="8" t="str">
        <x:v>今天先不急着聊出什么结论。能吃顿好饭，说几句心里话，就挺好。</x:v>
      </x:c>
      <x:c r="W42" s="8" t="str">
        <x:v>两个人第一次见面，难免会想怎么表现才好。今天咱们都放松一点，聊得来就多聊几句，停一停吃点东西也没关系。我先敬你，愿今天的见面是舒服的。</x:v>
      </x:c>
      <x:c r="X42" s="8" t="str">
        <x:v>spoken</x:v>
      </x:c>
      <x:c r="Y42" s="8" t="str">
        <x:v>plain</x:v>
      </x:c>
      <x:c r="Z42" s="8" t="str"/>
      <x:c r="AA42" s="12" t="str"/>
    </x:row>
    <x:row r="43" ht="42" customHeight="1">
      <x:c r="A43" s="9" t="str">
        <x:v>spoken-date-04</x:v>
      </x:c>
      <x:c r="B43" s="11" t="n">
        <x:v>1</x:v>
      </x:c>
      <x:c r="C43" s="9" t="str">
        <x:v>当前推荐</x:v>
      </x:c>
      <x:c r="D43" s="9" t="str">
        <x:v>相亲约会</x:v>
      </x:c>
      <x:c r="E43" s="9" t="str">
        <x:v>全桌</x:v>
      </x:c>
      <x:c r="F43" s="9" t="str">
        <x:v>有点欣喜，也留点从容</x:v>
      </x:c>
      <x:c r="G43" s="9" t="str">
        <x:v>借一句“欣于所遇”：今天见到你，是件高兴事。来，咱们慢慢聊。</x:v>
      </x:c>
      <x:c r="H43" s="9" t="str">
        <x:v>“欣于所遇”，这四个字挺适合今天的心情。第一次见面，有点新鲜，也有点期待。我先敬你一杯，希望接下来的话题都聊得自在，也愿你做自己就好。</x:v>
      </x:c>
      <x:c r="I43" s="9" t="str">
        <x:v>I’m happy we met today. Here’s to an easy conversation and feeling free to be ourselves.</x:v>
      </x:c>
      <x:c r="J43" s="9" t="str">
        <x:v>很高兴今天相识，愿交谈自在，也都能做自己。</x:v>
      </x:c>
      <x:c r="K43" s="9" t="str">
        <x:v>lantingMeet</x:v>
      </x:c>
      <x:c r="L43" s="9" t="str">
        <x:v>欣于所遇，珍惜此刻</x:v>
      </x:c>
      <x:c r="M43" s="9" t="str">
        <x:v>欣于所遇</x:v>
      </x:c>
      <x:c r="N43" s="9" t="str">
        <x:v>初见保留余地；把话说给面前的人听，不替对方许诺下一次见面。</x:v>
      </x:c>
      <x:c r="O43" s="9" t="str">
        <x:v>未限定</x:v>
      </x:c>
      <x:c r="P43" s="9" t="str">
        <x:v>未限定</x:v>
      </x:c>
      <x:c r="Q43" s="9" t="str">
        <x:v>未限定</x:v>
      </x:c>
      <x:c r="R43" s="9" t="str">
        <x:v>引句后整理</x:v>
      </x:c>
      <x:c r="S43" s="9" t="str">
        <x:v>雅致</x:v>
      </x:c>
      <x:c r="T43" s="9" t="str">
        <x:v>今天我以茶代酒，咱们随意就好。</x:v>
      </x:c>
      <x:c r="U43" s="9" t="str">
        <x:v>I’m raising a cup of tea, with the same warm wishes.</x:v>
      </x:c>
      <x:c r="V43" s="9" t="str">
        <x:v>借一句“欣于所遇”：今天见到你，是件高兴事。来，咱们慢慢聊。</x:v>
      </x:c>
      <x:c r="W43" s="9" t="str">
        <x:v>“欣于所遇”，这四个字挺适合今天的心情。第一次见面，有点新鲜，也有点期待。我先敬你一杯，希望接下来的话题都聊得自在，也愿你做自己就好。</x:v>
      </x:c>
      <x:c r="X43" s="9" t="str">
        <x:v>spoken</x:v>
      </x:c>
      <x:c r="Y43" s="9" t="str">
        <x:v>verse</x:v>
      </x:c>
      <x:c r="Z43" s="9" t="str"/>
      <x:c r="AA43" s="12" t="str"/>
    </x:row>
    <x:row r="44" ht="42" customHeight="1">
      <x:c r="A44" s="8" t="str">
        <x:v>spoken-date-05</x:v>
      </x:c>
      <x:c r="B44" s="10" t="n">
        <x:v>1</x:v>
      </x:c>
      <x:c r="C44" s="8" t="str">
        <x:v>当前推荐</x:v>
      </x:c>
      <x:c r="D44" s="8" t="str">
        <x:v>相亲约会</x:v>
      </x:c>
      <x:c r="E44" s="8" t="str">
        <x:v>全桌</x:v>
      </x:c>
      <x:c r="F44" s="8" t="str">
        <x:v>心意慢慢聊，就好</x:v>
      </x:c>
      <x:c r="G44" s="8" t="str">
        <x:v>借“一觞一咏”的雅意，今天不用急着把故事讲完。敬你，咱们边吃边聊。</x:v>
      </x:c>
      <x:c r="H44" s="8" t="str">
        <x:v>“一觞一咏”，让人喜欢的也许就是能好好说话的这段时间。今天不赶着把故事讲完，我愿意慢慢听。这一杯敬你，也祝这顿饭吃得开心。</x:v>
      </x:c>
      <x:c r="I44" s="8" t="str">
        <x:v>Here’s to taking our time, listening well, and enjoying dinner together.</x:v>
      </x:c>
      <x:c r="J44" s="8" t="str">
        <x:v>敬慢慢交谈、认真倾听，也愿一起吃得开心。</x:v>
      </x:c>
      <x:c r="K44" s="8" t="str">
        <x:v>lanting</x:v>
      </x:c>
      <x:c r="L44" s="8" t="str">
        <x:v>王羲之《兰亭集序》</x:v>
      </x:c>
      <x:c r="M44" s="8" t="str">
        <x:v>一觞一咏，亦足以畅叙幽情。</x:v>
      </x:c>
      <x:c r="N44" s="8" t="str">
        <x:v>初见保留余地；把话说给面前的人听，不替对方许诺下一次见面。</x:v>
      </x:c>
      <x:c r="O44" s="8" t="str">
        <x:v>未限定</x:v>
      </x:c>
      <x:c r="P44" s="8" t="str">
        <x:v>未限定</x:v>
      </x:c>
      <x:c r="Q44" s="8" t="str">
        <x:v>未限定</x:v>
      </x:c>
      <x:c r="R44" s="8" t="str">
        <x:v>引句后整理</x:v>
      </x:c>
      <x:c r="S44" s="8" t="str">
        <x:v>雅致</x:v>
      </x:c>
      <x:c r="T44" s="8" t="str">
        <x:v>我用茶敬你，很高兴今天见面。</x:v>
      </x:c>
      <x:c r="U44" s="8" t="str">
        <x:v>I’m raising a cup of tea, with the same warm wishes.</x:v>
      </x:c>
      <x:c r="V44" s="8" t="str">
        <x:v>借“一觞一咏”的雅意，今天不用急着把故事讲完。敬你，咱们边吃边聊。</x:v>
      </x:c>
      <x:c r="W44" s="8" t="str">
        <x:v>“一觞一咏”，让人喜欢的也许就是能好好说话的这段时间。今天不赶着把故事讲完，我愿意慢慢听。这一杯敬你，也祝这顿饭吃得开心。</x:v>
      </x:c>
      <x:c r="X44" s="8" t="str">
        <x:v>spoken</x:v>
      </x:c>
      <x:c r="Y44" s="8" t="str">
        <x:v>verse</x:v>
      </x:c>
      <x:c r="Z44" s="8" t="str"/>
      <x:c r="AA44" s="12" t="str"/>
    </x:row>
    <x:row r="45" ht="42" customHeight="1">
      <x:c r="A45" s="9" t="str">
        <x:v>spoken-date-07</x:v>
      </x:c>
      <x:c r="B45" s="11" t="n">
        <x:v>1</x:v>
      </x:c>
      <x:c r="C45" s="9" t="str">
        <x:v>当前推荐</x:v>
      </x:c>
      <x:c r="D45" s="9" t="str">
        <x:v>相亲约会</x:v>
      </x:c>
      <x:c r="E45" s="9" t="str">
        <x:v>全桌</x:v>
      </x:c>
      <x:c r="F45" s="9" t="str">
        <x:v>先把面试感放下</x:v>
      </x:c>
      <x:c r="G45" s="9" t="str">
        <x:v>今天咱们先把面试感放下，喜欢吃什么，就从吃什么聊起。来，先敬轻松。</x:v>
      </x:c>
      <x:c r="H45" s="9" t="str">
        <x:v>第一次见面，要是把问题问成面试，饭菜都快凉了。今天咱们先吃好，聊点真正感兴趣的；偶尔接不上话也没关系。我先敬你一杯，希望你今天过得愉快。</x:v>
      </x:c>
      <x:c r="I45" s="9" t="str">
        <x:v>Less like an interview, more like a good dinner. Here’s to a pleasant meal.</x:v>
      </x:c>
      <x:c r="J45" s="9" t="str">
        <x:v>少一点面试感，多一点吃饭聊天的自在，祝今天愉快。</x:v>
      </x:c>
      <x:c r="K45" s="9" t="str">
        <x:v>rhythm</x:v>
      </x:c>
      <x:c r="L45" s="9" t="str">
        <x:v>把话写给耳朵听</x:v>
      </x:c>
      <x:c r="M45" s="9" t="str"/>
      <x:c r="N45" s="9" t="str">
        <x:v>初见保留余地；把话说给面前的人听，不替对方许诺下一次见面。</x:v>
      </x:c>
      <x:c r="O45" s="9" t="str">
        <x:v>未限定</x:v>
      </x:c>
      <x:c r="P45" s="9" t="str">
        <x:v>未限定</x:v>
      </x:c>
      <x:c r="Q45" s="9" t="str">
        <x:v>未限定</x:v>
      </x:c>
      <x:c r="R45" s="9" t="str">
        <x:v>依据表达方法整理</x:v>
      </x:c>
      <x:c r="S45" s="9" t="str">
        <x:v>诙谐</x:v>
      </x:c>
      <x:c r="T45" s="9" t="str">
        <x:v>今天我以茶代酒，咱们随意就好。</x:v>
      </x:c>
      <x:c r="U45" s="9" t="str">
        <x:v>I’m raising a cup of tea, with the same warm wishes.</x:v>
      </x:c>
      <x:c r="V45" s="9" t="str">
        <x:v>今天咱们先把面试感放下，喜欢吃什么，就从吃什么聊起。来，先敬轻松。</x:v>
      </x:c>
      <x:c r="W45" s="9" t="str">
        <x:v>第一次见面，要是把问题问成面试，饭菜都快凉了。今天咱们先吃好，聊点真正感兴趣的；偶尔接不上话也没关系。我先敬你一杯，希望你今天过得愉快。</x:v>
      </x:c>
      <x:c r="X45" s="9" t="str">
        <x:v>spoken</x:v>
      </x:c>
      <x:c r="Y45" s="9" t="str">
        <x:v>fun</x:v>
      </x:c>
      <x:c r="Z45" s="9" t="str"/>
      <x:c r="AA45" s="12" t="str"/>
    </x:row>
    <x:row r="46" ht="42" customHeight="1">
      <x:c r="A46" s="8" t="str">
        <x:v>spoken-date-08</x:v>
      </x:c>
      <x:c r="B46" s="10" t="n">
        <x:v>1</x:v>
      </x:c>
      <x:c r="C46" s="8" t="str">
        <x:v>当前推荐</x:v>
      </x:c>
      <x:c r="D46" s="8" t="str">
        <x:v>相亲约会</x:v>
      </x:c>
      <x:c r="E46" s="8" t="str">
        <x:v>全桌</x:v>
      </x:c>
      <x:c r="F46" s="8" t="str">
        <x:v>话题想不到，先吃一口</x:v>
      </x:c>
      <x:c r="G46" s="8" t="str">
        <x:v>一时想不到聊什么，咱们就先吃一口。好吃的总能帮忙开个头，敬今天的相识。</x:v>
      </x:c>
      <x:c r="H46" s="8" t="str">
        <x:v>我刚才想了好几个开场白，还是觉得边吃边聊最自然。要是突然没话题，咱们就先尝尝菜，不用为了热闹硬找话。这杯敬你，很高兴今天能见面。</x:v>
      </x:c>
      <x:c r="I46" s="8" t="str">
        <x:v>If we run out of things to say, there’s always the food. I’m glad we met today.</x:v>
      </x:c>
      <x:c r="J46" s="8" t="str">
        <x:v>如果一时没话题，就先聊聊饭菜；很高兴今天相识。</x:v>
      </x:c>
      <x:c r="K46" s="8" t="str">
        <x:v>rhythm</x:v>
      </x:c>
      <x:c r="L46" s="8" t="str">
        <x:v>把话写给耳朵听</x:v>
      </x:c>
      <x:c r="M46" s="8" t="str"/>
      <x:c r="N46" s="8" t="str">
        <x:v>初见保留余地；把话说给面前的人听，不替对方许诺下一次见面。</x:v>
      </x:c>
      <x:c r="O46" s="8" t="str">
        <x:v>未限定</x:v>
      </x:c>
      <x:c r="P46" s="8" t="str">
        <x:v>未限定</x:v>
      </x:c>
      <x:c r="Q46" s="8" t="str">
        <x:v>未限定</x:v>
      </x:c>
      <x:c r="R46" s="8" t="str">
        <x:v>依据表达方法整理</x:v>
      </x:c>
      <x:c r="S46" s="8" t="str">
        <x:v>诙谐</x:v>
      </x:c>
      <x:c r="T46" s="8" t="str">
        <x:v>我用茶敬你，很高兴今天见面。</x:v>
      </x:c>
      <x:c r="U46" s="8" t="str">
        <x:v>I’m raising a cup of tea, with the same warm wishes.</x:v>
      </x:c>
      <x:c r="V46" s="8" t="str">
        <x:v>一时想不到聊什么，咱们就先吃一口。好吃的总能帮忙开个头，敬今天的相识。</x:v>
      </x:c>
      <x:c r="W46" s="8" t="str">
        <x:v>我刚才想了好几个开场白，还是觉得边吃边聊最自然。要是突然没话题，咱们就先尝尝菜，不用为了热闹硬找话。这杯敬你，很高兴今天能见面。</x:v>
      </x:c>
      <x:c r="X46" s="8" t="str">
        <x:v>spoken</x:v>
      </x:c>
      <x:c r="Y46" s="8" t="str">
        <x:v>fun</x:v>
      </x:c>
      <x:c r="Z46" s="8" t="str"/>
      <x:c r="AA46" s="12" t="str"/>
    </x:row>
    <x:row r="47" ht="42" customHeight="1">
      <x:c r="A47" s="9" t="str">
        <x:v>spoken-date-09</x:v>
      </x:c>
      <x:c r="B47" s="11" t="n">
        <x:v>1</x:v>
      </x:c>
      <x:c r="C47" s="9" t="str">
        <x:v>当前推荐</x:v>
      </x:c>
      <x:c r="D47" s="9" t="str">
        <x:v>相亲约会</x:v>
      </x:c>
      <x:c r="E47" s="9" t="str">
        <x:v>全桌</x:v>
      </x:c>
      <x:c r="F47" s="9" t="str">
        <x:v>先听听你喜欢的事</x:v>
      </x:c>
      <x:c r="G47" s="9" t="str">
        <x:v>今天很高兴见到你。你喜欢的事，我愿意听；我的故事，也慢慢讲给你。</x:v>
      </x:c>
      <x:c r="H47" s="9" t="str">
        <x:v>第一次见面，我想先听听你真正喜欢什么，不急着把话题都过一遍。这杯敬今天的相识，希望咱们这顿饭，吃得舒服，也聊得投缘。</x:v>
      </x:c>
      <x:c r="I47" s="9" t="str">
        <x:v>I’d like to hear what you truly enjoy. Here’s to a comfortable first conversation.</x:v>
      </x:c>
      <x:c r="J47" s="9" t="str">
        <x:v>我愿意听你真正喜欢的事，也愿第一次交谈轻松自在。</x:v>
      </x:c>
      <x:c r="K47" s="9" t="str">
        <x:v>rhythm</x:v>
      </x:c>
      <x:c r="L47" s="9" t="str">
        <x:v>把话写给耳朵听</x:v>
      </x:c>
      <x:c r="M47" s="9" t="str"/>
      <x:c r="N47" s="9" t="str">
        <x:v>初见保留余地；把话说给面前的人听，不替对方许诺下一次见面。</x:v>
      </x:c>
      <x:c r="O47" s="9" t="str">
        <x:v>未限定</x:v>
      </x:c>
      <x:c r="P47" s="9" t="str">
        <x:v>未限定</x:v>
      </x:c>
      <x:c r="Q47" s="9" t="str">
        <x:v>未限定</x:v>
      </x:c>
      <x:c r="R47" s="9" t="str">
        <x:v>依据表达方法整理</x:v>
      </x:c>
      <x:c r="S47" s="9" t="str">
        <x:v>雅致</x:v>
      </x:c>
      <x:c r="T47" s="9" t="str">
        <x:v>杯里是茶，心意一样。</x:v>
      </x:c>
      <x:c r="U47" s="9" t="str">
        <x:v>I’m raising a cup of tea, with the same warm wishes.</x:v>
      </x:c>
      <x:c r="V47" s="9" t="str">
        <x:v>今天很高兴见到你。你喜欢的事，我愿意听；我的故事，也慢慢讲给你。</x:v>
      </x:c>
      <x:c r="W47" s="9" t="str">
        <x:v>第一次见面，我想先听听你真正喜欢什么，不急着把话题都过一遍。这杯敬今天的相识，希望咱们这顿饭，吃得舒服，也聊得投缘。</x:v>
      </x:c>
      <x:c r="X47" s="9" t="str">
        <x:v>spoken</x:v>
      </x:c>
      <x:c r="Y47" s="9" t="str">
        <x:v>plain</x:v>
      </x:c>
      <x:c r="Z47" s="9" t="str"/>
      <x:c r="AA47" s="12" t="str"/>
    </x:row>
    <x:row r="48" ht="42" customHeight="1">
      <x:c r="A48" s="8" t="str">
        <x:v>spoken-date-10</x:v>
      </x:c>
      <x:c r="B48" s="10" t="n">
        <x:v>1</x:v>
      </x:c>
      <x:c r="C48" s="8" t="str">
        <x:v>当前推荐</x:v>
      </x:c>
      <x:c r="D48" s="8" t="str">
        <x:v>相亲约会</x:v>
      </x:c>
      <x:c r="E48" s="8" t="str">
        <x:v>全桌</x:v>
      </x:c>
      <x:c r="F48" s="8" t="str">
        <x:v>先把眼前的相遇过好</x:v>
      </x:c>
      <x:c r="G48" s="8" t="str">
        <x:v>“欣于所遇”，今天先把眼前这次相遇过好。来，敬你，愿今天轻松又开心。</x:v>
      </x:c>
      <x:c r="H48" s="8" t="str">
        <x:v>“欣于所遇”，借这四个字提醒我自己，别忙着想下一句该怎么说，先好好听你说话。这杯敬你，希望今天这顿饭，让我们都觉得来得值得。</x:v>
      </x:c>
      <x:c r="I48" s="8" t="str">
        <x:v>To being present, listening well, and enjoying this meeting as it is.</x:v>
      </x:c>
      <x:c r="J48" s="8" t="str">
        <x:v>敬认真倾听，也愿我们好好享受眼前这次见面。</x:v>
      </x:c>
      <x:c r="K48" s="8" t="str">
        <x:v>lantingMeet</x:v>
      </x:c>
      <x:c r="L48" s="8" t="str">
        <x:v>欣于所遇，珍惜此刻</x:v>
      </x:c>
      <x:c r="M48" s="8" t="str">
        <x:v>欣于所遇</x:v>
      </x:c>
      <x:c r="N48" s="8" t="str">
        <x:v>初见保留余地；把话说给面前的人听，不替对方许诺下一次见面。</x:v>
      </x:c>
      <x:c r="O48" s="8" t="str">
        <x:v>未限定</x:v>
      </x:c>
      <x:c r="P48" s="8" t="str">
        <x:v>未限定</x:v>
      </x:c>
      <x:c r="Q48" s="8" t="str">
        <x:v>未限定</x:v>
      </x:c>
      <x:c r="R48" s="8" t="str">
        <x:v>引句后整理</x:v>
      </x:c>
      <x:c r="S48" s="8" t="str">
        <x:v>雅致</x:v>
      </x:c>
      <x:c r="T48" s="8" t="str">
        <x:v>今天我以茶代酒，咱们随意就好。</x:v>
      </x:c>
      <x:c r="U48" s="8" t="str">
        <x:v>I’m raising a cup of tea, with the same warm wishes.</x:v>
      </x:c>
      <x:c r="V48" s="8" t="str">
        <x:v>“欣于所遇”，今天先把眼前这次相遇过好。来，敬你，愿今天轻松又开心。</x:v>
      </x:c>
      <x:c r="W48" s="8" t="str">
        <x:v>“欣于所遇”，借这四个字提醒我自己，别忙着想下一句该怎么说，先好好听你说话。这杯敬你，希望今天这顿饭，让我们都觉得来得值得。</x:v>
      </x:c>
      <x:c r="X48" s="8" t="str">
        <x:v>spoken</x:v>
      </x:c>
      <x:c r="Y48" s="8" t="str">
        <x:v>verse</x:v>
      </x:c>
      <x:c r="Z48" s="8" t="str"/>
      <x:c r="AA48" s="12" t="str"/>
    </x:row>
    <x:row r="49" ht="42" customHeight="1">
      <x:c r="A49" s="9" t="str">
        <x:v>spoken-date-11</x:v>
      </x:c>
      <x:c r="B49" s="11" t="n">
        <x:v>1</x:v>
      </x:c>
      <x:c r="C49" s="9" t="str">
        <x:v>当前推荐</x:v>
      </x:c>
      <x:c r="D49" s="9" t="str">
        <x:v>相亲约会</x:v>
      </x:c>
      <x:c r="E49" s="9" t="str">
        <x:v>全桌</x:v>
      </x:c>
      <x:c r="F49" s="9" t="str">
        <x:v>不用一次把故事讲完</x:v>
      </x:c>
      <x:c r="G49" s="9" t="str">
        <x:v>咱们今天又不是讲个人传记，不用一顿饭说完所有故事。来，先把饭吃开心。</x:v>
      </x:c>
      <x:c r="H49" s="9" t="str">
        <x:v>第一次见面，故事可以挑喜欢的讲，不用急着从出生讲到今天。我先敬你，愿这顿饭少一点紧张，多一点好奇，能开心地认识彼此。</x:v>
      </x:c>
      <x:c r="I49" s="9" t="str">
        <x:v>We don’t have to tell our whole life stories over one meal. Let’s just enjoy getting acquainted.</x:v>
      </x:c>
      <x:c r="J49" s="9" t="str">
        <x:v>一顿饭不用讲完全部人生，轻松认识彼此就好。</x:v>
      </x:c>
      <x:c r="K49" s="9" t="str">
        <x:v>rhythm</x:v>
      </x:c>
      <x:c r="L49" s="9" t="str">
        <x:v>把话写给耳朵听</x:v>
      </x:c>
      <x:c r="M49" s="9" t="str"/>
      <x:c r="N49" s="9" t="str">
        <x:v>初见保留余地；把话说给面前的人听，不替对方许诺下一次见面。</x:v>
      </x:c>
      <x:c r="O49" s="9" t="str">
        <x:v>未限定</x:v>
      </x:c>
      <x:c r="P49" s="9" t="str">
        <x:v>未限定</x:v>
      </x:c>
      <x:c r="Q49" s="9" t="str">
        <x:v>未限定</x:v>
      </x:c>
      <x:c r="R49" s="9" t="str">
        <x:v>依据表达方法整理</x:v>
      </x:c>
      <x:c r="S49" s="9" t="str">
        <x:v>诙谐</x:v>
      </x:c>
      <x:c r="T49" s="9" t="str">
        <x:v>我用茶敬你，很高兴今天见面。</x:v>
      </x:c>
      <x:c r="U49" s="9" t="str">
        <x:v>I’m raising a cup of tea, with the same warm wishes.</x:v>
      </x:c>
      <x:c r="V49" s="9" t="str">
        <x:v>咱们今天又不是讲个人传记，不用一顿饭说完所有故事。来，先把饭吃开心。</x:v>
      </x:c>
      <x:c r="W49" s="9" t="str">
        <x:v>第一次见面，故事可以挑喜欢的讲，不用急着从出生讲到今天。我先敬你，愿这顿饭少一点紧张，多一点好奇，能开心地认识彼此。</x:v>
      </x:c>
      <x:c r="X49" s="9" t="str">
        <x:v>spoken</x:v>
      </x:c>
      <x:c r="Y49" s="9" t="str">
        <x:v>fun</x:v>
      </x:c>
      <x:c r="Z49" s="9" t="str"/>
      <x:c r="AA49" s="12" t="str"/>
    </x:row>
    <x:row r="50" ht="42" customHeight="1">
      <x:c r="A50" s="8" t="str">
        <x:v>spoken-date-12</x:v>
      </x:c>
      <x:c r="B50" s="10" t="n">
        <x:v>1</x:v>
      </x:c>
      <x:c r="C50" s="8" t="str">
        <x:v>当前推荐</x:v>
      </x:c>
      <x:c r="D50" s="8" t="str">
        <x:v>相亲约会</x:v>
      </x:c>
      <x:c r="E50" s="8" t="str">
        <x:v>全桌</x:v>
      </x:c>
      <x:c r="F50" s="8" t="str">
        <x:v>不小心笑场，也挺好</x:v>
      </x:c>
      <x:c r="G50" s="8" t="str">
        <x:v>今天聊着聊着要是笑场，也算开了个好头。敬你，愿咱们都自在一点。</x:v>
      </x:c>
      <x:c r="H50" s="8" t="str">
        <x:v>我想了想，第一次见面最好的状态，可能不是句句漂亮，是能放松地笑出来。今天先敬你一杯，愿咱们吃得开心，偶尔停顿也不尴尬。</x:v>
      </x:c>
      <x:c r="I50" s="8" t="str">
        <x:v>Here’s to feeling comfortable enough to laugh, pause, and simply be ourselves.</x:v>
      </x:c>
      <x:c r="J50" s="8" t="str">
        <x:v>愿我们能自在地笑、自然地停顿，轻松做自己。</x:v>
      </x:c>
      <x:c r="K50" s="8" t="str">
        <x:v>rhythm</x:v>
      </x:c>
      <x:c r="L50" s="8" t="str">
        <x:v>把话写给耳朵听</x:v>
      </x:c>
      <x:c r="M50" s="8" t="str"/>
      <x:c r="N50" s="8" t="str">
        <x:v>初见保留余地；把话说给面前的人听，不替对方许诺下一次见面。</x:v>
      </x:c>
      <x:c r="O50" s="8" t="str">
        <x:v>未限定</x:v>
      </x:c>
      <x:c r="P50" s="8" t="str">
        <x:v>未限定</x:v>
      </x:c>
      <x:c r="Q50" s="8" t="str">
        <x:v>未限定</x:v>
      </x:c>
      <x:c r="R50" s="8" t="str">
        <x:v>依据表达方法整理</x:v>
      </x:c>
      <x:c r="S50" s="8" t="str">
        <x:v>诙谐</x:v>
      </x:c>
      <x:c r="T50" s="8" t="str">
        <x:v>杯里是茶，心意一样。</x:v>
      </x:c>
      <x:c r="U50" s="8" t="str">
        <x:v>I’m raising a cup of tea, with the same warm wishes.</x:v>
      </x:c>
      <x:c r="V50" s="8" t="str">
        <x:v>今天聊着聊着要是笑场，也算开了个好头。敬你，愿咱们都自在一点。</x:v>
      </x:c>
      <x:c r="W50" s="8" t="str">
        <x:v>我想了想，第一次见面最好的状态，可能不是句句漂亮，是能放松地笑出来。今天先敬你一杯，愿咱们吃得开心，偶尔停顿也不尴尬。</x:v>
      </x:c>
      <x:c r="X50" s="8" t="str">
        <x:v>spoken</x:v>
      </x:c>
      <x:c r="Y50" s="8" t="str">
        <x:v>fun</x:v>
      </x:c>
      <x:c r="Z50" s="8" t="str"/>
      <x:c r="AA50" s="12" t="str"/>
    </x:row>
    <x:row r="51" ht="57" customHeight="1">
      <x:c r="A51" s="9" t="str">
        <x:v>verse-ou-calm</x:v>
      </x:c>
      <x:c r="B51" s="11" t="n">
        <x:v>1</x:v>
      </x:c>
      <x:c r="C51" s="9" t="str">
        <x:v>当前推荐</x:v>
      </x:c>
      <x:c r="D51" s="9" t="str">
        <x:v>相亲约会</x:v>
      </x:c>
      <x:c r="E51" s="9" t="str">
        <x:v>全桌</x:v>
      </x:c>
      <x:c r="F51" s="9" t="str">
        <x:v>先把这一席，过得从容</x:v>
      </x:c>
      <x:c r="G51" s="9" t="str">
        <x:v>“把酒祝东风，且共从容。”今天借这句，不急着把彼此问明白，先把这一席过得从容。敬这次见面，也祝咱们聊得愉快。</x:v>
      </x:c>
      <x:c r="H51" s="9" t="str">
        <x:v>“把酒祝东风，且共从容。”欧阳修这句，今天最想借的是“从容”两个字。第一次见面，不必急着把故事讲完，也不用每句话都找标准答案。我先敬你，愿咱们说话自在，听得用心，把这一顿饭过得轻松又有意思。</x:v>
      </x:c>
      <x:c r="I51" s="9" t="str">
        <x:v>To an easy first meeting, honest conversation, and taking our time to get to know one another.</x:v>
      </x:c>
      <x:c r="J51" s="9" t="str">
        <x:v>敬自在的初见、真诚的交谈，也愿彼此从容了解。</x:v>
      </x:c>
      <x:c r="K51" s="9" t="str">
        <x:v>poem-ou-calm</x:v>
      </x:c>
      <x:c r="L51" s="9" t="str">
        <x:v>欧阳修《浪淘沙·把酒祝东风》</x:v>
      </x:c>
      <x:c r="M51" s="9" t="str">
        <x:v>把酒祝东风，且共从容。</x:v>
      </x:c>
      <x:c r="N51" s="9" t="str">
        <x:v>原词春游惜别，含聚散匆匆之感；借且共从容邀请自在交谈，不断言春季天气。</x:v>
      </x:c>
      <x:c r="O51" s="9" t="str">
        <x:v>邀饮待客、好友知己</x:v>
      </x:c>
      <x:c r="P51" s="9" t="str">
        <x:v>未限定</x:v>
      </x:c>
      <x:c r="Q51" s="9" t="str">
        <x:v>未限定</x:v>
      </x:c>
      <x:c r="R51" s="9" t="str">
        <x:v>引句后整理</x:v>
      </x:c>
      <x:c r="S51" s="9" t="str">
        <x:v>雅致</x:v>
      </x:c>
      <x:c r="T51" s="9" t="str">
        <x:v>我以茶代酒，心意一样。</x:v>
      </x:c>
      <x:c r="U51" s="9" t="str">
        <x:v>With tea in my cup and the same warm wishes.</x:v>
      </x:c>
      <x:c r="V51" s="9" t="str">
        <x:v>“把酒祝东风，且共从容。”今天借这句，不急着把彼此问明白，先把这一席过得从容。敬这次见面，也祝咱们聊得愉快。</x:v>
      </x:c>
      <x:c r="W51" s="9" t="str">
        <x:v>“把酒祝东风，且共从容。”欧阳修这句，今天最想借的是“从容”两个字。第一次见面，不必急着把故事讲完，也不用每句话都找标准答案。我先敬你，愿咱们说话自在，听得用心，把这一顿饭过得轻松又有意思。</x:v>
      </x:c>
      <x:c r="X51" s="9" t="str">
        <x:v>spoken</x:v>
      </x:c>
      <x:c r="Y51" s="9" t="str">
        <x:v>verse</x:v>
      </x:c>
      <x:c r="Z51" s="9" t="str"/>
      <x:c r="AA51" s="12" t="str"/>
    </x:row>
    <x:row r="52" ht="57" customHeight="1">
      <x:c r="A52" s="8" t="str">
        <x:v>verse-su-cupmoon-dating</x:v>
      </x:c>
      <x:c r="B52" s="10" t="n">
        <x:v>1</x:v>
      </x:c>
      <x:c r="C52" s="8" t="str">
        <x:v>当前推荐</x:v>
      </x:c>
      <x:c r="D52" s="8" t="str">
        <x:v>相亲约会</x:v>
      </x:c>
      <x:c r="E52" s="8" t="str">
        <x:v>全桌</x:v>
      </x:c>
      <x:c r="F52" s="8" t="str">
        <x:v>借杯中月，敬初次相识</x:v>
      </x:c>
      <x:c r="G52" s="8" t="str">
        <x:v>苏轼写“山城薄酒不堪饮，劝君且吸杯中月。”今天借一点诗意，敬这次相识。不急着熟，先好好聊，愿咱们都自在。</x:v>
      </x:c>
      <x:c r="H52" s="8" t="str">
        <x:v>“山城薄酒不堪饮，劝君且吸杯中月。”苏轼的想象很有趣，把月光也请进了杯里。今天借这点诗意，敬我们初次见面的缘分。不急着把故事讲完，也不用把话说得太满；聊得舒服，听得用心，这一席就很好。</x:v>
      </x:c>
      <x:c r="I52" s="8" t="str">
        <x:v>To a little poetry, an easy conversation, and taking our time to get acquainted.</x:v>
      </x:c>
      <x:c r="J52" s="8" t="str">
        <x:v>敬一点诗意、一份自在，也愿从容了解彼此。</x:v>
      </x:c>
      <x:c r="K52" s="8" t="str">
        <x:v>poem-su-cupmoon</x:v>
      </x:c>
      <x:c r="L52" s="8" t="str">
        <x:v>苏轼《月夜与客饮酒杏花下》</x:v>
      </x:c>
      <x:c r="M52" s="8" t="str">
        <x:v>山城薄酒不堪饮，劝君且吸杯中月。</x:v>
      </x:c>
      <x:c r="N52" s="8" t="str">
        <x:v>“劝君”在这里借诗意邀请，不要求饮尽。 原诗把月光写进酒杯，以想象增添雅兴；不是评价今天酒差，也不要求客人饮尽。</x:v>
      </x:c>
      <x:c r="O52" s="8" t="str">
        <x:v>月色入杯、邀饮待客、夜晚小酌</x:v>
      </x:c>
      <x:c r="P52" s="8" t="str">
        <x:v>未限定</x:v>
      </x:c>
      <x:c r="Q52" s="8" t="str">
        <x:v>未限定</x:v>
      </x:c>
      <x:c r="R52" s="8" t="str">
        <x:v>引句后整理</x:v>
      </x:c>
      <x:c r="S52" s="8" t="str">
        <x:v>雅致</x:v>
      </x:c>
      <x:c r="T52" s="8" t="str">
        <x:v>我以茶代酒，心意一样。</x:v>
      </x:c>
      <x:c r="U52" s="8" t="str">
        <x:v>With tea in my cup and the same warm wishes.</x:v>
      </x:c>
      <x:c r="V52" s="8" t="str">
        <x:v>苏轼写“山城薄酒不堪饮，劝君且吸杯中月。”今天借一点诗意，敬这次相识。不急着熟，先好好聊，愿咱们都自在。</x:v>
      </x:c>
      <x:c r="W52" s="8" t="str">
        <x:v>“山城薄酒不堪饮，劝君且吸杯中月。”苏轼的想象很有趣，把月光也请进了杯里。今天借这点诗意，敬我们初次见面的缘分。不急着把故事讲完，也不用把话说得太满；聊得舒服，听得用心，这一席就很好。</x:v>
      </x:c>
      <x:c r="X52" s="8" t="str">
        <x:v>spoken</x:v>
      </x:c>
      <x:c r="Y52" s="8" t="str">
        <x:v>verse</x:v>
      </x:c>
      <x:c r="Z52" s="8" t="str"/>
      <x:c r="AA52" s="12" t="str"/>
    </x:row>
    <x:row r="53" ht="57" customHeight="1">
      <x:c r="A53" s="9" t="str">
        <x:v>verse-xu-light-dating</x:v>
      </x:c>
      <x:c r="B53" s="11" t="n">
        <x:v>1</x:v>
      </x:c>
      <x:c r="C53" s="9" t="str">
        <x:v>当前推荐</x:v>
      </x:c>
      <x:c r="D53" s="9" t="str">
        <x:v>相亲约会</x:v>
      </x:c>
      <x:c r="E53" s="9" t="str">
        <x:v>全桌</x:v>
      </x:c>
      <x:c r="F53" s="9" t="str">
        <x:v>初见有光，相处从容</x:v>
      </x:c>
      <x:c r="G53" s="9" t="str">
        <x:v>“在这交会时互放的光亮！”借徐志摩这句，敬今天初见的好心情。希望咱们聊得自在，也都能自在做自己。</x:v>
      </x:c>
      <x:c r="H53" s="9" t="str">
        <x:v>徐志摩写“在这交会时互放的光亮！”。今天借这份相遇的光亮，不急着给彼此什么答案，先认真说话，也认真听对方说。很高兴认识你，这杯敬初见，也祝咱们把这一顿饭过得轻松愉快。</x:v>
      </x:c>
      <x:c r="I53" s="9" t="str">
        <x:v>It is good to meet you. Here’s to honest words, attentive listening, and feeling free to be ourselves.</x:v>
      </x:c>
      <x:c r="J53" s="9" t="str">
        <x:v>很高兴认识你，愿交谈真诚、倾听认真，也自在做自己。</x:v>
      </x:c>
      <x:c r="K53" s="9" t="str">
        <x:v>poem-xu-light</x:v>
      </x:c>
      <x:c r="L53" s="9" t="str">
        <x:v>徐志摩《偶然》</x:v>
      </x:c>
      <x:c r="M53" s="9" t="str">
        <x:v>在这交会时互放的光亮！</x:v>
      </x:c>
      <x:c r="N53" s="9" t="str">
        <x:v>原诗写短暂相逢与各自方向，既有光亮也有离散；只借相遇的善意，不转为恋爱或长久承诺。</x:v>
      </x:c>
      <x:c r="O53" s="9" t="str">
        <x:v>夜晚小酌、好友知己</x:v>
      </x:c>
      <x:c r="P53" s="9" t="str">
        <x:v>未限定</x:v>
      </x:c>
      <x:c r="Q53" s="9" t="str">
        <x:v>未限定</x:v>
      </x:c>
      <x:c r="R53" s="9" t="str">
        <x:v>引句后整理</x:v>
      </x:c>
      <x:c r="S53" s="9" t="str">
        <x:v>雅致</x:v>
      </x:c>
      <x:c r="T53" s="9" t="str">
        <x:v>我以茶代酒，心意一样。</x:v>
      </x:c>
      <x:c r="U53" s="9" t="str">
        <x:v>With tea in my cup and the same warm wishes.</x:v>
      </x:c>
      <x:c r="V53" s="9" t="str">
        <x:v>“在这交会时互放的光亮！”借徐志摩这句，敬今天初见的好心情。希望咱们聊得自在，也都能自在做自己。</x:v>
      </x:c>
      <x:c r="W53" s="9" t="str">
        <x:v>徐志摩写“在这交会时互放的光亮！”。今天借这份相遇的光亮，不急着给彼此什么答案，先认真说话，也认真听对方说。很高兴认识你，这杯敬初见，也祝咱们把这一顿饭过得轻松愉快。</x:v>
      </x:c>
      <x:c r="X53" s="9" t="str">
        <x:v>spoken</x:v>
      </x:c>
      <x:c r="Y53" s="9" t="str">
        <x:v>verse</x:v>
      </x:c>
      <x:c r="Z53" s="9" t="str"/>
      <x:c r="AA53" s="12" t="str"/>
    </x:row>
    <x:row r="54" ht="57" customHeight="1">
      <x:c r="A54" s="8" t="str">
        <x:v>family-elder-01</x:v>
      </x:c>
      <x:c r="B54" s="10" t="n">
        <x:v>1</x:v>
      </x:c>
      <x:c r="C54" s="8" t="str">
        <x:v>当前推荐</x:v>
      </x:c>
      <x:c r="D54" s="8" t="str">
        <x:v>家人长辈</x:v>
      </x:c>
      <x:c r="E54" s="8" t="str">
        <x:v>长辈</x:v>
      </x:c>
      <x:c r="F54" s="8" t="str">
        <x:v>家常最有味</x:v>
      </x:c>
      <x:c r="G54" s="8" t="str">
        <x:v>桌上有家常，心里有牵挂；愿长辈安康，家人和乐。
这一杯，敬家中长辈。</x:v>
      </x:c>
      <x:c r="H54" s="8" t="str">
        <x:v>桌上有家常，心里有牵挂。借这一杯，祝长辈安康，祝家人和乐。愿忙碌的时候彼此惦记，闲下来的时候围坐说话；日子不用多热闹，平安相伴就很好。
这一杯，敬家中长辈。</x:v>
      </x:c>
      <x:c r="I54" s="8" t="str">
        <x:v>To our family: good health, warm hearts, and time together.</x:v>
      </x:c>
      <x:c r="J54" s="8" t="str">
        <x:v>祝家人安康、心中温暖，也愿多些相聚。</x:v>
      </x:c>
      <x:c r="K54" s="8" t="str">
        <x:v>family</x:v>
      </x:c>
      <x:c r="L54" s="8" t="str">
        <x:v>一件日常，托住一份心意</x:v>
      </x:c>
      <x:c r="M54" s="8" t="str"/>
      <x:c r="N54" s="8" t="str">
        <x:v>适合长辈在场的家宴；其他家庭状态可换句。</x:v>
      </x:c>
      <x:c r="O54" s="8" t="str">
        <x:v>未限定</x:v>
      </x:c>
      <x:c r="P54" s="8" t="str">
        <x:v>未限定</x:v>
      </x:c>
      <x:c r="Q54" s="8" t="str">
        <x:v>未限定</x:v>
      </x:c>
      <x:c r="R54" s="8" t="str">
        <x:v>依据表达方法整理</x:v>
      </x:c>
      <x:c r="S54" s="8" t="str">
        <x:v>雅致</x:v>
      </x:c>
      <x:c r="T54" s="8" t="str"/>
      <x:c r="U54" s="8" t="str"/>
      <x:c r="V54" s="8" t="str">
        <x:v>桌上有家常，心里有牵挂；愿长辈安康，家人和乐。</x:v>
      </x:c>
      <x:c r="W54" s="8" t="str">
        <x:v>桌上有家常，心里有牵挂。借这一杯，祝长辈安康，祝家人和乐。愿忙碌的时候彼此惦记，闲下来的时候围坐说话；日子不用多热闹，平安相伴就很好。</x:v>
      </x:c>
      <x:c r="X54" s="8" t="str"/>
      <x:c r="Y54" s="8" t="str"/>
      <x:c r="Z54" s="8" t="str"/>
      <x:c r="AA54" s="12" t="str"/>
    </x:row>
    <x:row r="55" ht="72" customHeight="1">
      <x:c r="A55" s="9" t="str">
        <x:v>family-verse-01</x:v>
      </x:c>
      <x:c r="B55" s="11" t="n">
        <x:v>1</x:v>
      </x:c>
      <x:c r="C55" s="9" t="str">
        <x:v>当前推荐</x:v>
      </x:c>
      <x:c r="D55" s="9" t="str">
        <x:v>家人长辈</x:v>
      </x:c>
      <x:c r="E55" s="9" t="str">
        <x:v>长辈</x:v>
      </x:c>
      <x:c r="F55" s="9" t="str">
        <x:v>以介眉寿，敬长辈</x:v>
      </x:c>
      <x:c r="G55" s="9" t="str">
        <x:v>古人“以介眉寿”，今天愿长辈安康、家人和乐；一席团圆，常有笑颜。
这一杯，敬家中长辈。</x:v>
      </x:c>
      <x:c r="H55" s="9" t="str">
        <x:v>《诗经》有“为此春酒，以介眉寿”，把珍重长辈的心意放进杯中。今天借这份祝愿，敬家中长辈，愿您安康从容，也愿我们多些围坐说话的时光。家常有味，团圆有暖，就是好日子。
这一杯，敬家中长辈。</x:v>
      </x:c>
      <x:c r="I55" s="9" t="str">
        <x:v>To our elders’ well-being, a warm family, and more time together.</x:v>
      </x:c>
      <x:c r="J55" s="9" t="str">
        <x:v>祝长辈安康、家人温暖，也愿多些相聚。</x:v>
      </x:c>
      <x:c r="K55" s="9" t="str">
        <x:v>longevity</x:v>
      </x:c>
      <x:c r="L55" s="9" t="str">
        <x:v>《诗经·豳风·七月》</x:v>
      </x:c>
      <x:c r="M55" s="9" t="str">
        <x:v>为此春酒，以介眉寿。</x:v>
      </x:c>
      <x:c r="N55" s="9" t="str">
        <x:v>眉寿为长寿祝愿，不把酒说成延寿之物；需长辈在场。</x:v>
      </x:c>
      <x:c r="O55" s="9" t="str">
        <x:v>未限定</x:v>
      </x:c>
      <x:c r="P55" s="9" t="str">
        <x:v>未限定</x:v>
      </x:c>
      <x:c r="Q55" s="9" t="str">
        <x:v>未限定</x:v>
      </x:c>
      <x:c r="R55" s="9" t="str">
        <x:v>引句后整理</x:v>
      </x:c>
      <x:c r="S55" s="9" t="str">
        <x:v>雅致</x:v>
      </x:c>
      <x:c r="T55" s="9" t="str"/>
      <x:c r="U55" s="9" t="str"/>
      <x:c r="V55" s="9" t="str">
        <x:v>古人“以介眉寿”，今天愿长辈安康、家人和乐；一席团圆，常有笑颜。</x:v>
      </x:c>
      <x:c r="W55" s="9" t="str">
        <x:v>《诗经》有“为此春酒，以介眉寿”，把珍重长辈的心意放进杯中。今天借这份祝愿，敬家中长辈，愿您安康从容，也愿我们多些围坐说话的时光。家常有味，团圆有暖，就是好日子。</x:v>
      </x:c>
      <x:c r="X55" s="9" t="str"/>
      <x:c r="Y55" s="9" t="str"/>
      <x:c r="Z55" s="9" t="str"/>
      <x:c r="AA55" s="12" t="str"/>
    </x:row>
    <x:row r="56" ht="57" customHeight="1">
      <x:c r="A56" s="8" t="str">
        <x:v>r04-ci-11-1</x:v>
      </x:c>
      <x:c r="B56" s="10" t="n">
        <x:v>1</x:v>
      </x:c>
      <x:c r="C56" s="8" t="str">
        <x:v>当前推荐</x:v>
      </x:c>
      <x:c r="D56" s="8" t="str">
        <x:v>家人长辈</x:v>
      </x:c>
      <x:c r="E56" s="8" t="str">
        <x:v>长辈</x:v>
      </x:c>
      <x:c r="F56" s="8" t="str">
        <x:v>兴致不分早晚</x:v>
      </x:c>
      <x:c r="G56" s="8" t="str">
        <x:v>借苏轼的一句：“谁道人生无再少”苏轼这句，我想借来敬您：喜欢的事，什么时候开始都不嫌晚。愿您有精神，也有闲心，把日子过得有兴致。</x:v>
      </x:c>
      <x:c r="H56" s="8" t="str">
        <x:v>借苏轼的一句：“谁道人生无再少”苏轼这句，我想借来敬您：喜欢的事，什么时候开始都不嫌晚。愿您有精神，也有闲心，把日子过得有兴致。
这杯敬您，愿舒心常在，笑口常开。</x:v>
      </x:c>
      <x:c r="I56" s="8" t="str">
        <x:v>To keeping our curiosity alive, whatever our age.</x:v>
      </x:c>
      <x:c r="J56" s="8" t="str">
        <x:v>愿好奇与兴致，不因年岁而消退。</x:v>
      </x:c>
      <x:c r="K56" s="8" t="str">
        <x:v>r04-ci-11</x:v>
      </x:c>
      <x:c r="L56" s="8" t="str">
        <x:v>苏轼《浣溪沙·游蕲水清泉寺》</x:v>
      </x:c>
      <x:c r="M56" s="8" t="str">
        <x:v>谁道人生无再少</x:v>
      </x:c>
      <x:c r="N56" s="8" t="str">
        <x:v>见溪水西流而振作，非返老还童；不以年龄取笑长辈。</x:v>
      </x:c>
      <x:c r="O56" s="8" t="str">
        <x:v>团圆相聚</x:v>
      </x:c>
      <x:c r="P56" s="8" t="str">
        <x:v>未限定</x:v>
      </x:c>
      <x:c r="Q56" s="8" t="str">
        <x:v>未限定</x:v>
      </x:c>
      <x:c r="R56" s="8" t="str">
        <x:v>引句后整理</x:v>
      </x:c>
      <x:c r="S56" s="8" t="str">
        <x:v>雅致</x:v>
      </x:c>
      <x:c r="T56" s="8" t="str">
        <x:v>我以茶代酒，心意一样真。</x:v>
      </x:c>
      <x:c r="U56" s="8" t="str">
        <x:v>With tea in my cup and the same warm wishes.</x:v>
      </x:c>
      <x:c r="V56" s="8" t="str">
        <x:v>借苏轼的一句：“谁道人生无再少”苏轼这句，我想借来敬您：喜欢的事，什么时候开始都不嫌晚。愿您有精神，也有闲心，把日子过得有兴致。</x:v>
      </x:c>
      <x:c r="W56" s="8" t="str">
        <x:v>借苏轼的一句：“谁道人生无再少”苏轼这句，我想借来敬您：喜欢的事，什么时候开始都不嫌晚。愿您有精神，也有闲心，把日子过得有兴致。
这杯敬您，愿舒心常在，笑口常开。</x:v>
      </x:c>
      <x:c r="X56" s="8" t="str">
        <x:v>spoken</x:v>
      </x:c>
      <x:c r="Y56" s="8" t="str">
        <x:v>verse-2</x:v>
      </x:c>
      <x:c r="Z56" s="8" t="str"/>
      <x:c r="AA56" s="12" t="str"/>
    </x:row>
    <x:row r="57" ht="72" customHeight="1">
      <x:c r="A57" s="9" t="str">
        <x:v>r04-ci-17-2</x:v>
      </x:c>
      <x:c r="B57" s="11" t="n">
        <x:v>1</x:v>
      </x:c>
      <x:c r="C57" s="9" t="str">
        <x:v>当前推荐</x:v>
      </x:c>
      <x:c r="D57" s="9" t="str">
        <x:v>家人长辈</x:v>
      </x:c>
      <x:c r="E57" s="9" t="str">
        <x:v>长辈</x:v>
      </x:c>
      <x:c r="F57" s="9" t="str">
        <x:v>家常就很好 · 再说一句</x:v>
      </x:c>
      <x:c r="G57" s="9" t="str">
        <x:v>祝您往后少一点操心，多一点闲趣。想聊的时候有人听，想歇的时候安心歇，家常饭也能吃出好心情。借诗词中的一句：“醉里吴音相媚好，白发谁家翁媪。”</x:v>
      </x:c>
      <x:c r="H57" s="9" t="str">
        <x:v>祝您往后少一点操心，多一点闲趣。想聊的时候有人听，想歇的时候安心歇，家常饭也能吃出好心情。
借辛弃疾的一句：“醉里吴音相媚好，白发谁家翁媪。”这杯敬您，愿舒心常在，笑口常开。</x:v>
      </x:c>
      <x:c r="I57" s="9" t="str">
        <x:v>To the warmth of an ordinary family day. Here is to another good day together.</x:v>
      </x:c>
      <x:c r="J57" s="9" t="str">
        <x:v>敬一家人平常日子里的温暖。也盼再有同聚的好日子。</x:v>
      </x:c>
      <x:c r="K57" s="9" t="str">
        <x:v>r04-ci-17</x:v>
      </x:c>
      <x:c r="L57" s="9" t="str">
        <x:v>辛弃疾《清平乐·村居》</x:v>
      </x:c>
      <x:c r="M57" s="9" t="str">
        <x:v>醉里吴音相媚好，白发谁家翁媪。</x:v>
      </x:c>
      <x:c r="N57" s="9" t="str">
        <x:v>描绘乡村家庭，翁媪指老人，无赖作顽皮解；不默认用户子女人数。</x:v>
      </x:c>
      <x:c r="O57" s="9" t="str">
        <x:v>团圆相聚</x:v>
      </x:c>
      <x:c r="P57" s="9" t="str">
        <x:v>未限定</x:v>
      </x:c>
      <x:c r="Q57" s="9" t="str">
        <x:v>未限定</x:v>
      </x:c>
      <x:c r="R57" s="9" t="str">
        <x:v>引句后整理</x:v>
      </x:c>
      <x:c r="S57" s="9" t="str">
        <x:v>雅致</x:v>
      </x:c>
      <x:c r="T57" s="9" t="str">
        <x:v>我以茶代酒，心意一样真。</x:v>
      </x:c>
      <x:c r="U57" s="9" t="str">
        <x:v>With tea in my cup and the same warm wishes.</x:v>
      </x:c>
      <x:c r="V57" s="9" t="str">
        <x:v>祝您往后少一点操心，多一点闲趣。想聊的时候有人听，想歇的时候安心歇，家常饭也能吃出好心情。借诗词中的一句：“醉里吴音相媚好，白发谁家翁媪。”</x:v>
      </x:c>
      <x:c r="W57" s="9" t="str">
        <x:v>祝您往后少一点操心，多一点闲趣。想聊的时候有人听，想歇的时候安心歇，家常饭也能吃出好心情。
借辛弃疾的一句：“醉里吴音相媚好，白发谁家翁媪。”这杯敬您，愿舒心常在，笑口常开。</x:v>
      </x:c>
      <x:c r="X57" s="9" t="str">
        <x:v>spoken</x:v>
      </x:c>
      <x:c r="Y57" s="9" t="str">
        <x:v>verse-0</x:v>
      </x:c>
      <x:c r="Z57" s="9" t="str"/>
      <x:c r="AA57" s="12" t="str"/>
    </x:row>
    <x:row r="58" ht="57" customHeight="1">
      <x:c r="A58" s="8" t="str">
        <x:v>r04-ci-21-2</x:v>
      </x:c>
      <x:c r="B58" s="10" t="n">
        <x:v>1</x:v>
      </x:c>
      <x:c r="C58" s="8" t="str">
        <x:v>当前推荐</x:v>
      </x:c>
      <x:c r="D58" s="8" t="str">
        <x:v>家人长辈</x:v>
      </x:c>
      <x:c r="E58" s="8" t="str">
        <x:v>长辈</x:v>
      </x:c>
      <x:c r="F58" s="8" t="str">
        <x:v>得闲也有得闲的好 · 再说一句</x:v>
      </x:c>
      <x:c r="G58" s="8" t="str">
        <x:v>借词里这份闲情祝您，往后想出门就走走，想在家就看看花、喝喝茶，怎么舒心，咱们就怎么过。借诗词中的一句：“一丘一壑也风流。”</x:v>
      </x:c>
      <x:c r="H58" s="8" t="str">
        <x:v>借词里这份闲情祝您，往后想出门就走走，想在家就看看花、喝喝茶，怎么舒心，咱们就怎么过。
辛弃疾写过：“一丘一壑也风流。”这杯敬您，愿舒心常在，笑口常开。</x:v>
      </x:c>
      <x:c r="I58" s="8" t="str">
        <x:v>To rest that feels good and interests that remain our own. Here is to another good day together.</x:v>
      </x:c>
      <x:c r="J58" s="8" t="str">
        <x:v>愿休息安心，也留住自己的兴趣。也盼再有同聚的好日子。</x:v>
      </x:c>
      <x:c r="K58" s="8" t="str">
        <x:v>r04-ci-21</x:v>
      </x:c>
      <x:c r="L58" s="8" t="str">
        <x:v>辛弃疾《鹧鸪天·鹅湖归病起作》</x:v>
      </x:c>
      <x:c r="M58" s="8" t="str">
        <x:v>一丘一壑也风流。</x:v>
      </x:c>
      <x:c r="N58" s="8" t="str">
        <x:v>病起闲居仍有身世之感；借闲处自得，不暗示用户生病或衰老。</x:v>
      </x:c>
      <x:c r="O58" s="8" t="str">
        <x:v>团圆相聚</x:v>
      </x:c>
      <x:c r="P58" s="8" t="str">
        <x:v>未限定</x:v>
      </x:c>
      <x:c r="Q58" s="8" t="str">
        <x:v>未限定</x:v>
      </x:c>
      <x:c r="R58" s="8" t="str">
        <x:v>引句后整理</x:v>
      </x:c>
      <x:c r="S58" s="8" t="str">
        <x:v>雅致</x:v>
      </x:c>
      <x:c r="T58" s="8" t="str">
        <x:v>我以茶代酒，心意一样真。</x:v>
      </x:c>
      <x:c r="U58" s="8" t="str">
        <x:v>With tea in my cup and the same warm wishes.</x:v>
      </x:c>
      <x:c r="V58" s="8" t="str">
        <x:v>借词里这份闲情祝您，往后想出门就走走，想在家就看看花、喝喝茶，怎么舒心，咱们就怎么过。借诗词中的一句：“一丘一壑也风流。”</x:v>
      </x:c>
      <x:c r="W58" s="8" t="str">
        <x:v>借词里这份闲情祝您，往后想出门就走走，想在家就看看花、喝喝茶，怎么舒心，咱们就怎么过。
辛弃疾写过：“一丘一壑也风流。”这杯敬您，愿舒心常在，笑口常开。</x:v>
      </x:c>
      <x:c r="X58" s="8" t="str">
        <x:v>spoken</x:v>
      </x:c>
      <x:c r="Y58" s="8" t="str">
        <x:v>verse-0</x:v>
      </x:c>
      <x:c r="Z58" s="8" t="str"/>
      <x:c r="AA58" s="12" t="str"/>
    </x:row>
    <x:row r="59" ht="57" customHeight="1">
      <x:c r="A59" s="9" t="str">
        <x:v>r04-shi-1185-2</x:v>
      </x:c>
      <x:c r="B59" s="11" t="n">
        <x:v>1</x:v>
      </x:c>
      <x:c r="C59" s="9" t="str">
        <x:v>当前推荐</x:v>
      </x:c>
      <x:c r="D59" s="9" t="str">
        <x:v>家人长辈</x:v>
      </x:c>
      <x:c r="E59" s="9" t="str">
        <x:v>长辈</x:v>
      </x:c>
      <x:c r="F59" s="9" t="str">
        <x:v>一家人多照应 · 再说一句</x:v>
      </x:c>
      <x:c r="G59" s="9" t="str">
        <x:v>这一杯敬您。愿以后聚会，您少忙一点、多坐一会儿；大家把话说给您听，也把日常照顾做到跟前。借诗词中的一句：“戚戚兄弟，莫远具尔。”</x:v>
      </x:c>
      <x:c r="H59" s="9" t="str">
        <x:v>这一杯敬您。愿以后聚会，您少忙一点、多坐一会儿；大家把话说给您听，也把日常照顾做到跟前。
《诗经·行苇》写道：“戚戚兄弟，莫远具尔。”这杯敬您，愿舒心常在，笑口常开。</x:v>
      </x:c>
      <x:c r="I59" s="9" t="str">
        <x:v>To a family that asks one more question and offers one more helping hand. Here is to another good day together.</x:v>
      </x:c>
      <x:c r="J59" s="9" t="str">
        <x:v>愿家人多问候一句，多帮衬一点。也盼再有同聚的好日子。</x:v>
      </x:c>
      <x:c r="K59" s="9" t="str">
        <x:v>r04-shi-1185</x:v>
      </x:c>
      <x:c r="L59" s="9" t="str">
        <x:v>《诗经·行苇》</x:v>
      </x:c>
      <x:c r="M59" s="9" t="str">
        <x:v>戚戚兄弟，莫远具尔。</x:v>
      </x:c>
      <x:c r="N59" s="9" t="str">
        <x:v>亲族宴会、敬老、较射与祈福；取亲近照应，不照搬祭礼和座次。</x:v>
      </x:c>
      <x:c r="O59" s="9" t="str">
        <x:v>团圆相聚</x:v>
      </x:c>
      <x:c r="P59" s="9" t="str">
        <x:v>未限定</x:v>
      </x:c>
      <x:c r="Q59" s="9" t="str">
        <x:v>未限定</x:v>
      </x:c>
      <x:c r="R59" s="9" t="str">
        <x:v>引句后整理</x:v>
      </x:c>
      <x:c r="S59" s="9" t="str">
        <x:v>雅致</x:v>
      </x:c>
      <x:c r="T59" s="9" t="str">
        <x:v>我以茶代酒，心意一样真。</x:v>
      </x:c>
      <x:c r="U59" s="9" t="str">
        <x:v>With tea in my cup and the same warm wishes.</x:v>
      </x:c>
      <x:c r="V59" s="9" t="str">
        <x:v>这一杯敬您。愿以后聚会，您少忙一点、多坐一会儿；大家把话说给您听，也把日常照顾做到跟前。借诗词中的一句：“戚戚兄弟，莫远具尔。”</x:v>
      </x:c>
      <x:c r="W59" s="9" t="str">
        <x:v>这一杯敬您。愿以后聚会，您少忙一点、多坐一会儿；大家把话说给您听，也把日常照顾做到跟前。
《诗经·行苇》写道：“戚戚兄弟，莫远具尔。”这杯敬您，愿舒心常在，笑口常开。</x:v>
      </x:c>
      <x:c r="X59" s="9" t="str">
        <x:v>spoken</x:v>
      </x:c>
      <x:c r="Y59" s="9" t="str">
        <x:v>verse-1</x:v>
      </x:c>
      <x:c r="Z59" s="9" t="str"/>
      <x:c r="AA59" s="12" t="str"/>
    </x:row>
    <x:row r="60" ht="57" customHeight="1">
      <x:c r="A60" s="8" t="str">
        <x:v>r04-shi-1192-1</x:v>
      </x:c>
      <x:c r="B60" s="10" t="n">
        <x:v>1</x:v>
      </x:c>
      <x:c r="C60" s="8" t="str">
        <x:v>当前推荐</x:v>
      </x:c>
      <x:c r="D60" s="8" t="str">
        <x:v>家人长辈</x:v>
      </x:c>
      <x:c r="E60" s="8" t="str">
        <x:v>长辈</x:v>
      </x:c>
      <x:c r="F60" s="8" t="str">
        <x:v>把福气说具体</x:v>
      </x:c>
      <x:c r="G60" s="8" t="str">
        <x:v>借《诗经》的一句：“君子万年，介尔景福。”我借古人的祝愿，敬您平常的福气：吃饭有味，出门顺心，牵挂有人回应，每天都有一点高兴事。</x:v>
      </x:c>
      <x:c r="H60" s="8" t="str">
        <x:v>借《诗经》的一句：“君子万年，介尔景福。”我借古人的祝愿，敬您平常的福气：吃饭有味，出门顺心，牵挂有人回应，每天都有一点高兴事。
这杯敬您，愿舒心常在，笑口常开。</x:v>
      </x:c>
      <x:c r="I60" s="8" t="str">
        <x:v>To finding happiness in the ordinary things we share.</x:v>
      </x:c>
      <x:c r="J60" s="8" t="str">
        <x:v>愿在共同的平常生活里找到幸福。</x:v>
      </x:c>
      <x:c r="K60" s="8" t="str">
        <x:v>r04-shi-1192</x:v>
      </x:c>
      <x:c r="L60" s="8" t="str">
        <x:v>《诗经·既醉》</x:v>
      </x:c>
      <x:c r="M60" s="8" t="str">
        <x:v>君子万年，介尔景福。</x:v>
      </x:c>
      <x:c r="N60" s="8" t="str">
        <x:v>祭祀嘏辞，君子指周王；只借古老祝愿，不说饮酒能延寿获福。</x:v>
      </x:c>
      <x:c r="O60" s="8" t="str">
        <x:v>团圆相聚</x:v>
      </x:c>
      <x:c r="P60" s="8" t="str">
        <x:v>未限定</x:v>
      </x:c>
      <x:c r="Q60" s="8" t="str">
        <x:v>未限定</x:v>
      </x:c>
      <x:c r="R60" s="8" t="str">
        <x:v>引句后整理</x:v>
      </x:c>
      <x:c r="S60" s="8" t="str">
        <x:v>雅致</x:v>
      </x:c>
      <x:c r="T60" s="8" t="str">
        <x:v>我以茶代酒，心意一样真。</x:v>
      </x:c>
      <x:c r="U60" s="8" t="str">
        <x:v>With tea in my cup and the same warm wishes.</x:v>
      </x:c>
      <x:c r="V60" s="8" t="str">
        <x:v>借《诗经》的一句：“君子万年，介尔景福。”我借古人的祝愿，敬您平常的福气：吃饭有味，出门顺心，牵挂有人回应，每天都有一点高兴事。</x:v>
      </x:c>
      <x:c r="W60" s="8" t="str">
        <x:v>借《诗经》的一句：“君子万年，介尔景福。”我借古人的祝愿，敬您平常的福气：吃饭有味，出门顺心，牵挂有人回应，每天都有一点高兴事。
这杯敬您，愿舒心常在，笑口常开。</x:v>
      </x:c>
      <x:c r="X60" s="8" t="str">
        <x:v>spoken</x:v>
      </x:c>
      <x:c r="Y60" s="8" t="str">
        <x:v>verse-2</x:v>
      </x:c>
      <x:c r="Z60" s="8" t="str"/>
      <x:c r="AA60" s="12" t="str"/>
    </x:row>
    <x:row r="61" ht="57" customHeight="1">
      <x:c r="A61" s="9" t="str">
        <x:v>r04-shi-335-2</x:v>
      </x:c>
      <x:c r="B61" s="11" t="n">
        <x:v>1</x:v>
      </x:c>
      <x:c r="C61" s="9" t="str">
        <x:v>当前推荐</x:v>
      </x:c>
      <x:c r="D61" s="9" t="str">
        <x:v>家人长辈</x:v>
      </x:c>
      <x:c r="E61" s="9" t="str">
        <x:v>长辈</x:v>
      </x:c>
      <x:c r="F61" s="9" t="str">
        <x:v>家常也静好 · 再说一句</x:v>
      </x:c>
      <x:c r="G61" s="9" t="str">
        <x:v>把大祝愿说小一点：愿您每天都有人好好说话，想吃的有人记得，想去的地方有人作伴。借诗词中的一句：“琴瑟在御，莫不静好。”</x:v>
      </x:c>
      <x:c r="H61" s="9" t="str">
        <x:v>把大祝愿说小一点：愿您每天都有人好好说话，想吃的有人记得，想去的地方有人作伴。
《诗经》里有一句：“琴瑟在御，莫不静好。”这杯敬您，愿舒心常在，笑口常开。</x:v>
      </x:c>
      <x:c r="I61" s="9" t="str">
        <x:v>To a home where there is time to listen and room to rest. Here is to another good day together.</x:v>
      </x:c>
      <x:c r="J61" s="9" t="str">
        <x:v>愿家里有人倾听，也能安心歇息。也盼再有同聚的好日子。</x:v>
      </x:c>
      <x:c r="K61" s="9" t="str">
        <x:v>r04-shi-335</x:v>
      </x:c>
      <x:c r="L61" s="9" t="str">
        <x:v>《诗经·女曰鸡鸣》</x:v>
      </x:c>
      <x:c r="M61" s="9" t="str">
        <x:v>琴瑟在御，莫不静好。</x:v>
      </x:c>
      <x:c r="N61" s="9" t="str">
        <x:v>夫妻对话与日常相伴；只用于家人、长期相处，不给相亲初见强加白头承诺。</x:v>
      </x:c>
      <x:c r="O61" s="9" t="str">
        <x:v>团圆相聚</x:v>
      </x:c>
      <x:c r="P61" s="9" t="str">
        <x:v>未限定</x:v>
      </x:c>
      <x:c r="Q61" s="9" t="str">
        <x:v>未限定</x:v>
      </x:c>
      <x:c r="R61" s="9" t="str">
        <x:v>引句后整理</x:v>
      </x:c>
      <x:c r="S61" s="9" t="str">
        <x:v>雅致</x:v>
      </x:c>
      <x:c r="T61" s="9" t="str">
        <x:v>我以茶代酒，心意一样真。</x:v>
      </x:c>
      <x:c r="U61" s="9" t="str">
        <x:v>With tea in my cup and the same warm wishes.</x:v>
      </x:c>
      <x:c r="V61" s="9" t="str">
        <x:v>把大祝愿说小一点：愿您每天都有人好好说话，想吃的有人记得，想去的地方有人作伴。借诗词中的一句：“琴瑟在御，莫不静好。”</x:v>
      </x:c>
      <x:c r="W61" s="9" t="str">
        <x:v>把大祝愿说小一点：愿您每天都有人好好说话，想吃的有人记得，想去的地方有人作伴。
《诗经》里有一句：“琴瑟在御，莫不静好。”这杯敬您，愿舒心常在，笑口常开。</x:v>
      </x:c>
      <x:c r="X61" s="9" t="str">
        <x:v>spoken</x:v>
      </x:c>
      <x:c r="Y61" s="9" t="str">
        <x:v>verse-3</x:v>
      </x:c>
      <x:c r="Z61" s="9" t="str"/>
      <x:c r="AA61" s="12" t="str"/>
    </x:row>
    <x:row r="62" ht="57" customHeight="1">
      <x:c r="A62" s="8" t="str">
        <x:v>r04-shi-44-1</x:v>
      </x:c>
      <x:c r="B62" s="10" t="n">
        <x:v>1</x:v>
      </x:c>
      <x:c r="C62" s="8" t="str">
        <x:v>当前推荐</x:v>
      </x:c>
      <x:c r="D62" s="8" t="str">
        <x:v>家人长辈</x:v>
      </x:c>
      <x:c r="E62" s="8" t="str">
        <x:v>长辈</x:v>
      </x:c>
      <x:c r="F62" s="8" t="str">
        <x:v>福气落在日常</x:v>
      </x:c>
      <x:c r="G62" s="8" t="str">
        <x:v>《诗经》里有一句：“乐只君子，福履绥之。”《诗经》的祝福，落到今天，就是盼您吃得香、睡得安，闲时有花可看，有人来串门。</x:v>
      </x:c>
      <x:c r="H62" s="8" t="str">
        <x:v>《诗经》里有一句：“乐只君子，福履绥之。”《诗经》的祝福，落到今天，就是盼您吃得香、睡得安，闲时有花可看，有人来串门。
这杯敬您，愿舒心常在，笑口常开。</x:v>
      </x:c>
      <x:c r="I62" s="8" t="str">
        <x:v>To everyday comfort and the quiet happiness of being cared for.</x:v>
      </x:c>
      <x:c r="J62" s="8" t="str">
        <x:v>敬日常的舒适与被人照顾的温暖。</x:v>
      </x:c>
      <x:c r="K62" s="8" t="str">
        <x:v>r04-shi-44</x:v>
      </x:c>
      <x:c r="L62" s="8" t="str">
        <x:v>《诗经·樛木》</x:v>
      </x:c>
      <x:c r="M62" s="8" t="str">
        <x:v>乐只君子，福履绥之。</x:v>
      </x:c>
      <x:c r="N62" s="8" t="str">
        <x:v>祝福安乐福禄的诗；旧说及今解不同，借祝福，不套用依附关系。</x:v>
      </x:c>
      <x:c r="O62" s="8" t="str">
        <x:v>团圆相聚</x:v>
      </x:c>
      <x:c r="P62" s="8" t="str">
        <x:v>未限定</x:v>
      </x:c>
      <x:c r="Q62" s="8" t="str">
        <x:v>未限定</x:v>
      </x:c>
      <x:c r="R62" s="8" t="str">
        <x:v>引句后整理</x:v>
      </x:c>
      <x:c r="S62" s="8" t="str">
        <x:v>雅致</x:v>
      </x:c>
      <x:c r="T62" s="8" t="str">
        <x:v>我以茶代酒，心意一样真。</x:v>
      </x:c>
      <x:c r="U62" s="8" t="str">
        <x:v>With tea in my cup and the same warm wishes.</x:v>
      </x:c>
      <x:c r="V62" s="8" t="str">
        <x:v>《诗经》里有一句：“乐只君子，福履绥之。”《诗经》的祝福，落到今天，就是盼您吃得香、睡得安，闲时有花可看，有人来串门。</x:v>
      </x:c>
      <x:c r="W62" s="8" t="str">
        <x:v>《诗经》里有一句：“乐只君子，福履绥之。”《诗经》的祝福，落到今天，就是盼您吃得香、睡得安，闲时有花可看，有人来串门。
这杯敬您，愿舒心常在，笑口常开。</x:v>
      </x:c>
      <x:c r="X62" s="8" t="str">
        <x:v>spoken</x:v>
      </x:c>
      <x:c r="Y62" s="8" t="str">
        <x:v>verse-0</x:v>
      </x:c>
      <x:c r="Z62" s="8" t="str"/>
      <x:c r="AA62" s="12" t="str"/>
    </x:row>
    <x:row r="63" ht="57" customHeight="1">
      <x:c r="A63" s="9" t="str">
        <x:v>r04-shi-655-2</x:v>
      </x:c>
      <x:c r="B63" s="11" t="n">
        <x:v>1</x:v>
      </x:c>
      <x:c r="C63" s="9" t="str">
        <x:v>当前推荐</x:v>
      </x:c>
      <x:c r="D63" s="9" t="str">
        <x:v>家人长辈</x:v>
      </x:c>
      <x:c r="E63" s="9" t="str">
        <x:v>长辈</x:v>
      </x:c>
      <x:c r="F63" s="9" t="str">
        <x:v>积累慢慢见回响 · 再说一句</x:v>
      </x:c>
      <x:c r="G63" s="9" t="str">
        <x:v>我借古人的好意，祝您生活里的欢喜一点点添：少些操心，多些闲趣，想见的人也常在身边。借诗词中的一句：“如川之方至，以莫不增。”</x:v>
      </x:c>
      <x:c r="H63" s="9" t="str">
        <x:v>我借古人的好意，祝您生活里的欢喜一点点添：少些操心，多些闲趣，想见的人也常在身边。
借《诗经》的一句：“如川之方至，以莫不增。”这杯敬您，愿舒心常在，笑口常开。</x:v>
      </x:c>
      <x:c r="I63" s="9" t="str">
        <x:v>To patient effort, steady growth, and happiness along the way. Here is to another good day together.</x:v>
      </x:c>
      <x:c r="J63" s="9" t="str">
        <x:v>愿耐心努力，慢慢成长，沿途也有欢喜。也盼再有同聚的好日子。</x:v>
      </x:c>
      <x:c r="K63" s="9" t="str">
        <x:v>r04-shi-655</x:v>
      </x:c>
      <x:c r="L63" s="9" t="str">
        <x:v>《诗经·天保》</x:v>
      </x:c>
      <x:c r="M63" s="9" t="str">
        <x:v>如川之方至，以莫不增。</x:v>
      </x:c>
      <x:c r="N63" s="9" t="str">
        <x:v>原为臣下祝颂君主；借河水渐盛的意象，祝愿不是实际业绩承诺。</x:v>
      </x:c>
      <x:c r="O63" s="9" t="str">
        <x:v>团圆相聚</x:v>
      </x:c>
      <x:c r="P63" s="9" t="str">
        <x:v>未限定</x:v>
      </x:c>
      <x:c r="Q63" s="9" t="str">
        <x:v>未限定</x:v>
      </x:c>
      <x:c r="R63" s="9" t="str">
        <x:v>引句后整理</x:v>
      </x:c>
      <x:c r="S63" s="9" t="str">
        <x:v>雅致</x:v>
      </x:c>
      <x:c r="T63" s="9" t="str">
        <x:v>我以茶代酒，心意一样真。</x:v>
      </x:c>
      <x:c r="U63" s="9" t="str">
        <x:v>With tea in my cup and the same warm wishes.</x:v>
      </x:c>
      <x:c r="V63" s="9" t="str">
        <x:v>我借古人的好意，祝您生活里的欢喜一点点添：少些操心，多些闲趣，想见的人也常在身边。借诗词中的一句：“如川之方至，以莫不增。”</x:v>
      </x:c>
      <x:c r="W63" s="9" t="str">
        <x:v>我借古人的好意，祝您生活里的欢喜一点点添：少些操心，多些闲趣，想见的人也常在身边。
借《诗经》的一句：“如川之方至，以莫不增。”这杯敬您，愿舒心常在，笑口常开。</x:v>
      </x:c>
      <x:c r="X63" s="9" t="str">
        <x:v>spoken</x:v>
      </x:c>
      <x:c r="Y63" s="9" t="str">
        <x:v>verse-3</x:v>
      </x:c>
      <x:c r="Z63" s="9" t="str"/>
      <x:c r="AA63" s="12" t="str"/>
    </x:row>
    <x:row r="64" ht="57" customHeight="1">
      <x:c r="A64" s="8" t="str">
        <x:v>r04-shi-691-2</x:v>
      </x:c>
      <x:c r="B64" s="10" t="n">
        <x:v>1</x:v>
      </x:c>
      <x:c r="C64" s="8" t="str">
        <x:v>当前推荐</x:v>
      </x:c>
      <x:c r="D64" s="8" t="str">
        <x:v>家人长辈</x:v>
      </x:c>
      <x:c r="E64" s="8" t="str">
        <x:v>长辈</x:v>
      </x:c>
      <x:c r="F64" s="8" t="str">
        <x:v>把好意留长 · 再说一句</x:v>
      </x:c>
      <x:c r="G64" s="8" t="str">
        <x:v>祝您把喜欢的日子慢慢过长：身边有熟悉的人，手边有喜欢的事，日常有滋味，闲时有说笑。借诗词中的一句：“乐只君子，德音不已！”</x:v>
      </x:c>
      <x:c r="H64" s="8" t="str">
        <x:v>祝您把喜欢的日子慢慢过长：身边有熟悉的人，手边有喜欢的事，日常有滋味，闲时有说笑。
借《诗经》的一句：“乐只君子，德音不已！”这杯敬您，愿舒心常在，笑口常开。</x:v>
      </x:c>
      <x:c r="I64" s="8" t="str">
        <x:v>To kindness that stays with us and good habits we put into practice. Here is to another good day together.</x:v>
      </x:c>
      <x:c r="J64" s="8" t="str">
        <x:v>愿好意长留，也把好的做法落到日常。也盼再有同聚的好日子。</x:v>
      </x:c>
      <x:c r="K64" s="8" t="str">
        <x:v>r04-shi-691</x:v>
      </x:c>
      <x:c r="L64" s="8" t="str">
        <x:v>《诗经·南山有台》</x:v>
      </x:c>
      <x:c r="M64" s="8" t="str">
        <x:v>乐只君子，德音不已！</x:v>
      </x:c>
      <x:c r="N64" s="8" t="str">
        <x:v>祝颂得贤与美德；借好名声与好心意长在，不将普通聚会拟作朝会。</x:v>
      </x:c>
      <x:c r="O64" s="8" t="str">
        <x:v>团圆相聚</x:v>
      </x:c>
      <x:c r="P64" s="8" t="str">
        <x:v>未限定</x:v>
      </x:c>
      <x:c r="Q64" s="8" t="str">
        <x:v>未限定</x:v>
      </x:c>
      <x:c r="R64" s="8" t="str">
        <x:v>引句后整理</x:v>
      </x:c>
      <x:c r="S64" s="8" t="str">
        <x:v>雅致</x:v>
      </x:c>
      <x:c r="T64" s="8" t="str">
        <x:v>我以茶代酒，心意一样真。</x:v>
      </x:c>
      <x:c r="U64" s="8" t="str">
        <x:v>With tea in my cup and the same warm wishes.</x:v>
      </x:c>
      <x:c r="V64" s="8" t="str">
        <x:v>祝您把喜欢的日子慢慢过长：身边有熟悉的人，手边有喜欢的事，日常有滋味，闲时有说笑。借诗词中的一句：“乐只君子，德音不已！”</x:v>
      </x:c>
      <x:c r="W64" s="8" t="str">
        <x:v>祝您把喜欢的日子慢慢过长：身边有熟悉的人，手边有喜欢的事，日常有滋味，闲时有说笑。
借《诗经》的一句：“乐只君子，德音不已！”这杯敬您，愿舒心常在，笑口常开。</x:v>
      </x:c>
      <x:c r="X64" s="8" t="str">
        <x:v>spoken</x:v>
      </x:c>
      <x:c r="Y64" s="8" t="str">
        <x:v>verse-2</x:v>
      </x:c>
      <x:c r="Z64" s="8" t="str"/>
      <x:c r="AA64" s="12" t="str"/>
    </x:row>
    <x:row r="65" ht="57" customHeight="1">
      <x:c r="A65" s="9" t="str">
        <x:v>r04-shi-991-1</x:v>
      </x:c>
      <x:c r="B65" s="11" t="n">
        <x:v>1</x:v>
      </x:c>
      <x:c r="C65" s="9" t="str">
        <x:v>当前推荐</x:v>
      </x:c>
      <x:c r="D65" s="9" t="str">
        <x:v>家人长辈</x:v>
      </x:c>
      <x:c r="E65" s="9" t="str">
        <x:v>长辈</x:v>
      </x:c>
      <x:c r="F65" s="9" t="str">
        <x:v>祝愿说得实在</x:v>
      </x:c>
      <x:c r="G65" s="9" t="str">
        <x:v>《诗经·鸳鸯》写道：“君子万年，福禄绥之。”古人的万年，是把祝愿说得很长。今天我说得实在些：愿您天天舒心，常有笑声，喜欢的事总有闲去做。</x:v>
      </x:c>
      <x:c r="H65" s="9" t="str">
        <x:v>《诗经·鸳鸯》写道：“君子万年，福禄绥之。”古人的万年，是把祝愿说得很长。今天我说得实在些：愿您天天舒心，常有笑声，喜欢的事总有闲去做。
这杯敬您，愿舒心常在，笑口常开。</x:v>
      </x:c>
      <x:c r="I65" s="9" t="str">
        <x:v>To comfortable days, familiar company, and time for what we enjoy.</x:v>
      </x:c>
      <x:c r="J65" s="9" t="str">
        <x:v>愿日子舒适，有人作伴，也有空做喜欢的事。</x:v>
      </x:c>
      <x:c r="K65" s="9" t="str">
        <x:v>r04-shi-991</x:v>
      </x:c>
      <x:c r="L65" s="9" t="str">
        <x:v>《诗经·鸳鸯》</x:v>
      </x:c>
      <x:c r="M65" s="9" t="str">
        <x:v>君子万年，福禄绥之。</x:v>
      </x:c>
      <x:c r="N65" s="9" t="str">
        <x:v>祝福之歌，存在婚礼及君臣酬答等解释；不默认所有对象为夫妻。</x:v>
      </x:c>
      <x:c r="O65" s="9" t="str">
        <x:v>团圆相聚</x:v>
      </x:c>
      <x:c r="P65" s="9" t="str">
        <x:v>未限定</x:v>
      </x:c>
      <x:c r="Q65" s="9" t="str">
        <x:v>未限定</x:v>
      </x:c>
      <x:c r="R65" s="9" t="str">
        <x:v>引句后整理</x:v>
      </x:c>
      <x:c r="S65" s="9" t="str">
        <x:v>雅致</x:v>
      </x:c>
      <x:c r="T65" s="9" t="str">
        <x:v>我以茶代酒，心意一样真。</x:v>
      </x:c>
      <x:c r="U65" s="9" t="str">
        <x:v>With tea in my cup and the same warm wishes.</x:v>
      </x:c>
      <x:c r="V65" s="9" t="str">
        <x:v>《诗经·鸳鸯》写道：“君子万年，福禄绥之。”古人的万年，是把祝愿说得很长。今天我说得实在些：愿您天天舒心，常有笑声，喜欢的事总有闲去做。</x:v>
      </x:c>
      <x:c r="W65" s="9" t="str">
        <x:v>《诗经·鸳鸯》写道：“君子万年，福禄绥之。”古人的万年，是把祝愿说得很长。今天我说得实在些：愿您天天舒心，常有笑声，喜欢的事总有闲去做。
这杯敬您，愿舒心常在，笑口常开。</x:v>
      </x:c>
      <x:c r="X65" s="9" t="str">
        <x:v>spoken</x:v>
      </x:c>
      <x:c r="Y65" s="9" t="str">
        <x:v>verse-2</x:v>
      </x:c>
      <x:c r="Z65" s="9" t="str"/>
      <x:c r="AA65" s="12" t="str"/>
    </x:row>
    <x:row r="66" ht="57" customHeight="1">
      <x:c r="A66" s="8" t="str">
        <x:v>r04-story-02-2</x:v>
      </x:c>
      <x:c r="B66" s="10" t="n">
        <x:v>1</x:v>
      </x:c>
      <x:c r="C66" s="8" t="str">
        <x:v>当前推荐</x:v>
      </x:c>
      <x:c r="D66" s="8" t="str">
        <x:v>家人长辈</x:v>
      </x:c>
      <x:c r="E66" s="8" t="str">
        <x:v>长辈</x:v>
      </x:c>
      <x:c r="F66" s="8" t="str">
        <x:v>敬一份宽和 · 再说一句</x:v>
      </x:c>
      <x:c r="G66" s="8" t="str">
        <x:v>我借这个宽厚的意象敬您。愿您少替大家着急，多给自己留点清闲；我们也把该做的做好，让您放心。借这则旧事的一句：“其器深广，难测量也。”</x:v>
      </x:c>
      <x:c r="H66" s="8" t="str">
        <x:v>我借这个宽厚的意象敬您。愿您少替大家着急，多给自己留点清闲；我们也把该做的做好，让您放心。
《世说新语》里记载：“其器深广，难测量也。”这杯敬您，愿舒心常在，笑口常开。</x:v>
      </x:c>
      <x:c r="I66" s="8" t="str">
        <x:v>To patience, thoughtfulness, and a steady heart when things get busy. Here is to another good day together.</x:v>
      </x:c>
      <x:c r="J66" s="8" t="str">
        <x:v>愿忙时有耐心，待人有体贴，心里有安稳。也盼再有同聚的好日子。</x:v>
      </x:c>
      <x:c r="K66" s="8" t="str">
        <x:v>r04-story-02</x:v>
      </x:c>
      <x:c r="L66" s="8" t="str">
        <x:v>《世说新语·德行第三则》郭林宗访黄叔度</x:v>
      </x:c>
      <x:c r="M66" s="8" t="str">
        <x:v>其器深广，难测量也。</x:v>
      </x:c>
      <x:c r="N66" s="8" t="str">
        <x:v>以深广水泽比器量；人物名号与家传有考异，今天仅借宽厚自持之意，不做人格高下判定。</x:v>
      </x:c>
      <x:c r="O66" s="8" t="str">
        <x:v>团圆相聚</x:v>
      </x:c>
      <x:c r="P66" s="8" t="str">
        <x:v>未限定</x:v>
      </x:c>
      <x:c r="Q66" s="8" t="str">
        <x:v>未限定</x:v>
      </x:c>
      <x:c r="R66" s="8" t="str">
        <x:v>引句后整理</x:v>
      </x:c>
      <x:c r="S66" s="8" t="str">
        <x:v>雅致</x:v>
      </x:c>
      <x:c r="T66" s="8" t="str">
        <x:v>我以茶代酒，心意一样真。</x:v>
      </x:c>
      <x:c r="U66" s="8" t="str">
        <x:v>With tea in my cup and the same warm wishes.</x:v>
      </x:c>
      <x:c r="V66" s="8" t="str">
        <x:v>我借这个宽厚的意象敬您。愿您少替大家着急，多给自己留点清闲；我们也把该做的做好，让您放心。借这则旧事的一句：“其器深广，难测量也。”</x:v>
      </x:c>
      <x:c r="W66" s="8" t="str">
        <x:v>我借这个宽厚的意象敬您。愿您少替大家着急，多给自己留点清闲；我们也把该做的做好，让您放心。
《世说新语》里记载：“其器深广，难测量也。”这杯敬您，愿舒心常在，笑口常开。</x:v>
      </x:c>
      <x:c r="X66" s="8" t="str">
        <x:v>spoken</x:v>
      </x:c>
      <x:c r="Y66" s="8" t="str">
        <x:v>story-1</x:v>
      </x:c>
      <x:c r="Z66" s="8" t="str"/>
      <x:c r="AA66" s="12" t="str"/>
    </x:row>
    <x:row r="67" ht="72" customHeight="1">
      <x:c r="A67" s="9" t="str">
        <x:v>r04-story-07-1</x:v>
      </x:c>
      <x:c r="B67" s="11" t="n">
        <x:v>1</x:v>
      </x:c>
      <x:c r="C67" s="9" t="str">
        <x:v>当前推荐</x:v>
      </x:c>
      <x:c r="D67" s="9" t="str">
        <x:v>家人长辈</x:v>
      </x:c>
      <x:c r="E67" s="9" t="str">
        <x:v>长辈</x:v>
      </x:c>
      <x:c r="F67" s="9" t="str">
        <x:v>把喜欢的记住</x:v>
      </x:c>
      <x:c r="G67" s="9" t="str">
        <x:v>《世说新语》里记载：“每煮食，辄贮录焦饭，归以遗母。”书里陈遗记得母亲爱吃锅底焦饭。今天这杯敬您，愿我们也把关心做具体一点：您喜欢什么、想做什么，多问一句，多记一点。</x:v>
      </x:c>
      <x:c r="H67" s="9" t="str">
        <x:v>《世说新语》里记载：“每煮食，辄贮录焦饭，归以遗母。”书里陈遗记得母亲爱吃锅底焦饭。今天这杯敬您，愿我们也把关心做具体一点：您喜欢什么、想做什么，多问一句，多记一点。
这杯敬您，愿舒心常在，笑口常开。</x:v>
      </x:c>
      <x:c r="I67" s="9" t="str">
        <x:v>To remembering the little things our loved ones enjoy.</x:v>
      </x:c>
      <x:c r="J67" s="9" t="str">
        <x:v>愿记得亲人喜欢的那些小事。</x:v>
      </x:c>
      <x:c r="K67" s="9" t="str">
        <x:v>r04-story-07</x:v>
      </x:c>
      <x:c r="L67" s="9" t="str">
        <x:v>《世说新语·德行第四十五则》陈遗贮焦饭</x:v>
      </x:c>
      <x:c r="M67" s="9" t="str">
        <x:v>每煮食，辄贮录焦饭，归以遗母。</x:v>
      </x:c>
      <x:c r="N67" s="9" t="str">
        <x:v>取记住亲人喜好的日常照料；末尾因果属当时解释，不作孝行必保平安的承诺。</x:v>
      </x:c>
      <x:c r="O67" s="9" t="str">
        <x:v>团圆相聚</x:v>
      </x:c>
      <x:c r="P67" s="9" t="str">
        <x:v>未限定</x:v>
      </x:c>
      <x:c r="Q67" s="9" t="str">
        <x:v>未限定</x:v>
      </x:c>
      <x:c r="R67" s="9" t="str">
        <x:v>引句后整理</x:v>
      </x:c>
      <x:c r="S67" s="9" t="str">
        <x:v>雅致</x:v>
      </x:c>
      <x:c r="T67" s="9" t="str">
        <x:v>我以茶代酒，心意一样真。</x:v>
      </x:c>
      <x:c r="U67" s="9" t="str">
        <x:v>With tea in my cup and the same warm wishes.</x:v>
      </x:c>
      <x:c r="V67" s="9" t="str">
        <x:v>《世说新语》里记载：“每煮食，辄贮录焦饭，归以遗母。”书里陈遗记得母亲爱吃锅底焦饭。今天这杯敬您，愿我们也把关心做具体一点：您喜欢什么、想做什么，多问一句，多记一点。</x:v>
      </x:c>
      <x:c r="W67" s="9" t="str">
        <x:v>《世说新语》里记载：“每煮食，辄贮录焦饭，归以遗母。”书里陈遗记得母亲爱吃锅底焦饭。今天这杯敬您，愿我们也把关心做具体一点：您喜欢什么、想做什么，多问一句，多记一点。
这杯敬您，愿舒心常在，笑口常开。</x:v>
      </x:c>
      <x:c r="X67" s="9" t="str">
        <x:v>spoken</x:v>
      </x:c>
      <x:c r="Y67" s="9" t="str">
        <x:v>story-2</x:v>
      </x:c>
      <x:c r="Z67" s="9" t="str"/>
      <x:c r="AA67" s="12" t="str"/>
    </x:row>
    <x:row r="68" ht="42" customHeight="1">
      <x:c r="A68" s="8" t="str">
        <x:v>spoken-elders-01</x:v>
      </x:c>
      <x:c r="B68" s="10" t="n">
        <x:v>1</x:v>
      </x:c>
      <x:c r="C68" s="8" t="str">
        <x:v>当前推荐</x:v>
      </x:c>
      <x:c r="D68" s="8" t="str">
        <x:v>家人长辈</x:v>
      </x:c>
      <x:c r="E68" s="8" t="str">
        <x:v>长辈</x:v>
      </x:c>
      <x:c r="F68" s="8" t="str">
        <x:v>您舒心，我们就踏实</x:v>
      </x:c>
      <x:c r="G68" s="8" t="str">
        <x:v>这杯敬您。别总惦记别人，也多顾着自己；您吃得好、睡得好，我们心里就踏实。</x:v>
      </x:c>
      <x:c r="H68" s="8" t="str">
        <x:v>今天借这杯跟您说句家常话：事情不用样样操心，自己的身体和心情也得顾好。祝您吃得香、睡得安稳，每天都有点开心的事，我们也多找时间陪您聊聊。</x:v>
      </x:c>
      <x:c r="I68" s="8" t="str">
        <x:v>To your health and peace of mind. Please take good care of yourself too.</x:v>
      </x:c>
      <x:c r="J68" s="8" t="str">
        <x:v>祝您健康、舒心，也请您好好照顾自己。</x:v>
      </x:c>
      <x:c r="K68" s="8" t="str">
        <x:v>family</x:v>
      </x:c>
      <x:c r="L68" s="8" t="str">
        <x:v>一件日常，托住一份心意</x:v>
      </x:c>
      <x:c r="M68" s="8" t="str"/>
      <x:c r="N68" s="8" t="str">
        <x:v>称呼可以换成自己平时用的称呼；关心说具体一点，不把长辈当成致辞听众。</x:v>
      </x:c>
      <x:c r="O68" s="8" t="str">
        <x:v>未限定</x:v>
      </x:c>
      <x:c r="P68" s="8" t="str">
        <x:v>未限定</x:v>
      </x:c>
      <x:c r="Q68" s="8" t="str">
        <x:v>未限定</x:v>
      </x:c>
      <x:c r="R68" s="8" t="str">
        <x:v>依据表达方法整理</x:v>
      </x:c>
      <x:c r="S68" s="8" t="str">
        <x:v>雅致</x:v>
      </x:c>
      <x:c r="T68" s="8" t="str">
        <x:v>我用茶敬您，您多保重。</x:v>
      </x:c>
      <x:c r="U68" s="8" t="str">
        <x:v>I’m raising a cup of tea, with the same warm wishes.</x:v>
      </x:c>
      <x:c r="V68" s="8" t="str">
        <x:v>这杯敬您。别总惦记别人，也多顾着自己；您吃得好、睡得好，我们心里就踏实。</x:v>
      </x:c>
      <x:c r="W68" s="8" t="str">
        <x:v>今天借这杯跟您说句家常话：事情不用样样操心，自己的身体和心情也得顾好。祝您吃得香、睡得安稳，每天都有点开心的事，我们也多找时间陪您聊聊。</x:v>
      </x:c>
      <x:c r="X68" s="8" t="str">
        <x:v>spoken</x:v>
      </x:c>
      <x:c r="Y68" s="8" t="str">
        <x:v>plain</x:v>
      </x:c>
      <x:c r="Z68" s="8" t="str"/>
      <x:c r="AA68" s="12" t="str"/>
    </x:row>
    <x:row r="69" ht="42" customHeight="1">
      <x:c r="A69" s="9" t="str">
        <x:v>spoken-elders-02</x:v>
      </x:c>
      <x:c r="B69" s="11" t="n">
        <x:v>1</x:v>
      </x:c>
      <x:c r="C69" s="9" t="str">
        <x:v>当前推荐</x:v>
      </x:c>
      <x:c r="D69" s="9" t="str">
        <x:v>家人长辈</x:v>
      </x:c>
      <x:c r="E69" s="9" t="str">
        <x:v>长辈</x:v>
      </x:c>
      <x:c r="F69" s="9" t="str">
        <x:v>陪您慢慢吃顿饭</x:v>
      </x:c>
      <x:c r="G69" s="9" t="str">
        <x:v>这杯先敬您。愿您每天都舒心，咱们以后多找时间，像今天这样慢慢吃顿饭。</x:v>
      </x:c>
      <x:c r="H69" s="9" t="str">
        <x:v>今天坐在一块儿，能陪您慢慢吃顿饭，我很高兴。好听的话就说一句：愿您身体好、心里舒坦。也提醒我自己，有空多见面，多听您说说话。</x:v>
      </x:c>
      <x:c r="I69" s="9" t="str">
        <x:v>To your well-being and to more unhurried time together.</x:v>
      </x:c>
      <x:c r="J69" s="9" t="str">
        <x:v>祝您安康，也愿我们多些从容相伴的时间。</x:v>
      </x:c>
      <x:c r="K69" s="9" t="str">
        <x:v>family</x:v>
      </x:c>
      <x:c r="L69" s="9" t="str">
        <x:v>一件日常，托住一份心意</x:v>
      </x:c>
      <x:c r="M69" s="9" t="str"/>
      <x:c r="N69" s="9" t="str">
        <x:v>称呼可以换成自己平时用的称呼；关心说具体一点，不把长辈当成致辞听众。</x:v>
      </x:c>
      <x:c r="O69" s="9" t="str">
        <x:v>未限定</x:v>
      </x:c>
      <x:c r="P69" s="9" t="str">
        <x:v>未限定</x:v>
      </x:c>
      <x:c r="Q69" s="9" t="str">
        <x:v>未限定</x:v>
      </x:c>
      <x:c r="R69" s="9" t="str">
        <x:v>依据表达方法整理</x:v>
      </x:c>
      <x:c r="S69" s="9" t="str">
        <x:v>雅致</x:v>
      </x:c>
      <x:c r="T69" s="9" t="str">
        <x:v>今天以茶代酒，祝您每天都舒心。</x:v>
      </x:c>
      <x:c r="U69" s="9" t="str">
        <x:v>I’m raising a cup of tea, with the same warm wishes.</x:v>
      </x:c>
      <x:c r="V69" s="9" t="str">
        <x:v>这杯先敬您。愿您每天都舒心，咱们以后多找时间，像今天这样慢慢吃顿饭。</x:v>
      </x:c>
      <x:c r="W69" s="9" t="str">
        <x:v>今天坐在一块儿，能陪您慢慢吃顿饭，我很高兴。好听的话就说一句：愿您身体好、心里舒坦。也提醒我自己，有空多见面，多听您说说话。</x:v>
      </x:c>
      <x:c r="X69" s="9" t="str">
        <x:v>spoken</x:v>
      </x:c>
      <x:c r="Y69" s="9" t="str">
        <x:v>plain</x:v>
      </x:c>
      <x:c r="Z69" s="9" t="str"/>
      <x:c r="AA69" s="12" t="str"/>
    </x:row>
    <x:row r="70" ht="42" customHeight="1">
      <x:c r="A70" s="8" t="str">
        <x:v>spoken-elders-03</x:v>
      </x:c>
      <x:c r="B70" s="10" t="n">
        <x:v>1</x:v>
      </x:c>
      <x:c r="C70" s="8" t="str">
        <x:v>当前推荐</x:v>
      </x:c>
      <x:c r="D70" s="8" t="str">
        <x:v>家人长辈</x:v>
      </x:c>
      <x:c r="E70" s="8" t="str">
        <x:v>长辈</x:v>
      </x:c>
      <x:c r="F70" s="8" t="str">
        <x:v>过得高兴，最要紧</x:v>
      </x:c>
      <x:c r="G70" s="8" t="str">
        <x:v>祝您身体好，也祝您天天有高兴的事。想吃的吃一点，喜欢的事多做一点，这杯敬您。</x:v>
      </x:c>
      <x:c r="H70" s="8" t="str">
        <x:v>这杯我想祝您两件事：身体好，心情也好。日子不光要过得安稳，也得有自己喜欢的事。愿您有空出去走走，想见的人常见，想聊的话有人陪着聊。</x:v>
      </x:c>
      <x:c r="I70" s="8" t="str">
        <x:v>May you stay well, enjoy what you love, and have good company around you.</x:v>
      </x:c>
      <x:c r="J70" s="8" t="str">
        <x:v>愿您身体好，常做喜欢的事，也总有人相伴。</x:v>
      </x:c>
      <x:c r="K70" s="8" t="str">
        <x:v>family</x:v>
      </x:c>
      <x:c r="L70" s="8" t="str">
        <x:v>一件日常，托住一份心意</x:v>
      </x:c>
      <x:c r="M70" s="8" t="str"/>
      <x:c r="N70" s="8" t="str">
        <x:v>称呼可以换成自己平时用的称呼；关心说具体一点，不把长辈当成致辞听众。</x:v>
      </x:c>
      <x:c r="O70" s="8" t="str">
        <x:v>未限定</x:v>
      </x:c>
      <x:c r="P70" s="8" t="str">
        <x:v>未限定</x:v>
      </x:c>
      <x:c r="Q70" s="8" t="str">
        <x:v>未限定</x:v>
      </x:c>
      <x:c r="R70" s="8" t="str">
        <x:v>依据表达方法整理</x:v>
      </x:c>
      <x:c r="S70" s="8" t="str">
        <x:v>雅致</x:v>
      </x:c>
      <x:c r="T70" s="8" t="str">
        <x:v>茶也能敬人，这份牵挂一样。</x:v>
      </x:c>
      <x:c r="U70" s="8" t="str">
        <x:v>I’m raising a cup of tea, with the same warm wishes.</x:v>
      </x:c>
      <x:c r="V70" s="8" t="str">
        <x:v>祝您身体好，也祝您天天有高兴的事。想吃的吃一点，喜欢的事多做一点，这杯敬您。</x:v>
      </x:c>
      <x:c r="W70" s="8" t="str">
        <x:v>这杯我想祝您两件事：身体好，心情也好。日子不光要过得安稳，也得有自己喜欢的事。愿您有空出去走走，想见的人常见，想聊的话有人陪着聊。</x:v>
      </x:c>
      <x:c r="X70" s="8" t="str">
        <x:v>spoken</x:v>
      </x:c>
      <x:c r="Y70" s="8" t="str">
        <x:v>plain</x:v>
      </x:c>
      <x:c r="Z70" s="8" t="str"/>
      <x:c r="AA70" s="12" t="str"/>
    </x:row>
    <x:row r="71" ht="42" customHeight="1">
      <x:c r="A71" s="9" t="str">
        <x:v>spoken-elders-04</x:v>
      </x:c>
      <x:c r="B71" s="11" t="n">
        <x:v>1</x:v>
      </x:c>
      <x:c r="C71" s="9" t="str">
        <x:v>当前推荐</x:v>
      </x:c>
      <x:c r="D71" s="9" t="str">
        <x:v>家人长辈</x:v>
      </x:c>
      <x:c r="E71" s="9" t="str">
        <x:v>长辈</x:v>
      </x:c>
      <x:c r="F71" s="9" t="str">
        <x:v>把长寿祝愿说成家常话</x:v>
      </x:c>
      <x:c r="G71" s="9" t="str">
        <x:v>“以介眉寿”，换成咱们的家常话，就是盼您健健康康，咱们还有好多顿饭一起吃。</x:v>
      </x:c>
      <x:c r="H71" s="9" t="str">
        <x:v>“为此春酒，以介眉寿。”这份祝愿，今天我也想送给您。说得家常一点，就是盼您身体好、心情好，以后这样的饭，咱们还要一起吃很多回。这杯敬您。</x:v>
      </x:c>
      <x:c r="I71" s="9" t="str">
        <x:v>Wishing you many healthy, happy years and many more meals together.</x:v>
      </x:c>
      <x:c r="J71" s="9" t="str">
        <x:v>愿您长久健康、开心，也盼往后常常一起吃饭。</x:v>
      </x:c>
      <x:c r="K71" s="9" t="str">
        <x:v>longevity</x:v>
      </x:c>
      <x:c r="L71" s="9" t="str">
        <x:v>《诗经·豳风·七月》</x:v>
      </x:c>
      <x:c r="M71" s="9" t="str">
        <x:v>为此春酒，以介眉寿。</x:v>
      </x:c>
      <x:c r="N71" s="9" t="str">
        <x:v>称呼可以换成自己平时用的称呼；关心说具体一点，不把长辈当成致辞听众。</x:v>
      </x:c>
      <x:c r="O71" s="9" t="str">
        <x:v>未限定</x:v>
      </x:c>
      <x:c r="P71" s="9" t="str">
        <x:v>未限定</x:v>
      </x:c>
      <x:c r="Q71" s="9" t="str">
        <x:v>未限定</x:v>
      </x:c>
      <x:c r="R71" s="9" t="str">
        <x:v>引句后整理</x:v>
      </x:c>
      <x:c r="S71" s="9" t="str">
        <x:v>雅致</x:v>
      </x:c>
      <x:c r="T71" s="9" t="str">
        <x:v>我用茶敬您，您多保重。</x:v>
      </x:c>
      <x:c r="U71" s="9" t="str">
        <x:v>I’m raising a cup of tea, with the same warm wishes.</x:v>
      </x:c>
      <x:c r="V71" s="9" t="str">
        <x:v>“以介眉寿”，换成咱们的家常话，就是盼您健健康康，咱们还有好多顿饭一起吃。</x:v>
      </x:c>
      <x:c r="W71" s="9" t="str">
        <x:v>“为此春酒，以介眉寿。”这份祝愿，今天我也想送给您。说得家常一点，就是盼您身体好、心情好，以后这样的饭，咱们还要一起吃很多回。这杯敬您。</x:v>
      </x:c>
      <x:c r="X71" s="9" t="str">
        <x:v>spoken</x:v>
      </x:c>
      <x:c r="Y71" s="9" t="str">
        <x:v>verse</x:v>
      </x:c>
      <x:c r="Z71" s="9" t="str"/>
      <x:c r="AA71" s="12" t="str"/>
    </x:row>
    <x:row r="72" ht="42" customHeight="1">
      <x:c r="A72" s="8" t="str">
        <x:v>spoken-elders-05</x:v>
      </x:c>
      <x:c r="B72" s="10" t="n">
        <x:v>1</x:v>
      </x:c>
      <x:c r="C72" s="8" t="str">
        <x:v>当前推荐</x:v>
      </x:c>
      <x:c r="D72" s="8" t="str">
        <x:v>家人长辈</x:v>
      </x:c>
      <x:c r="E72" s="8" t="str">
        <x:v>长辈</x:v>
      </x:c>
      <x:c r="F72" s="8" t="str">
        <x:v>长长久久，多些欢笑</x:v>
      </x:c>
      <x:c r="G72" s="8" t="str">
        <x:v>借“以介眉寿”这份祝愿，敬您安康长久。也愿咱们家里，多一些像今天这样的欢笑。</x:v>
      </x:c>
      <x:c r="H72" s="8" t="str">
        <x:v>借“以介眉寿”这份祝愿，我敬您一杯。长寿是好心愿，眼前也愿您少操一点心，多享一点清闲。以后咱们多聚聚，把平常的日子也过得高高兴兴。</x:v>
      </x:c>
      <x:c r="I72" s="8" t="str">
        <x:v>To a long, healthy life, a peaceful heart, and a home full of laughter.</x:v>
      </x:c>
      <x:c r="J72" s="8" t="str">
        <x:v>祝您健康长久、心里安稳，也愿家中常有笑声。</x:v>
      </x:c>
      <x:c r="K72" s="8" t="str">
        <x:v>longevity</x:v>
      </x:c>
      <x:c r="L72" s="8" t="str">
        <x:v>《诗经·豳风·七月》</x:v>
      </x:c>
      <x:c r="M72" s="8" t="str">
        <x:v>为此春酒，以介眉寿。</x:v>
      </x:c>
      <x:c r="N72" s="8" t="str">
        <x:v>称呼可以换成自己平时用的称呼；关心说具体一点，不把长辈当成致辞听众。</x:v>
      </x:c>
      <x:c r="O72" s="8" t="str">
        <x:v>未限定</x:v>
      </x:c>
      <x:c r="P72" s="8" t="str">
        <x:v>未限定</x:v>
      </x:c>
      <x:c r="Q72" s="8" t="str">
        <x:v>未限定</x:v>
      </x:c>
      <x:c r="R72" s="8" t="str">
        <x:v>引句后整理</x:v>
      </x:c>
      <x:c r="S72" s="8" t="str">
        <x:v>雅致</x:v>
      </x:c>
      <x:c r="T72" s="8" t="str">
        <x:v>今天以茶代酒，祝您每天都舒心。</x:v>
      </x:c>
      <x:c r="U72" s="8" t="str">
        <x:v>I’m raising a cup of tea, with the same warm wishes.</x:v>
      </x:c>
      <x:c r="V72" s="8" t="str">
        <x:v>借“以介眉寿”这份祝愿，敬您安康长久。也愿咱们家里，多一些像今天这样的欢笑。</x:v>
      </x:c>
      <x:c r="W72" s="8" t="str">
        <x:v>借“以介眉寿”这份祝愿，我敬您一杯。长寿是好心愿，眼前也愿您少操一点心，多享一点清闲。以后咱们多聚聚，把平常的日子也过得高高兴兴。</x:v>
      </x:c>
      <x:c r="X72" s="8" t="str">
        <x:v>spoken</x:v>
      </x:c>
      <x:c r="Y72" s="8" t="str">
        <x:v>verse</x:v>
      </x:c>
      <x:c r="Z72" s="8" t="str"/>
      <x:c r="AA72" s="12" t="str"/>
    </x:row>
    <x:row r="73" ht="42" customHeight="1">
      <x:c r="A73" s="9" t="str">
        <x:v>spoken-elders-06</x:v>
      </x:c>
      <x:c r="B73" s="11" t="n">
        <x:v>1</x:v>
      </x:c>
      <x:c r="C73" s="9" t="str">
        <x:v>当前推荐</x:v>
      </x:c>
      <x:c r="D73" s="9" t="str">
        <x:v>家人长辈</x:v>
      </x:c>
      <x:c r="E73" s="9" t="str">
        <x:v>长辈</x:v>
      </x:c>
      <x:c r="F73" s="9" t="str">
        <x:v>多陪您说说家常</x:v>
      </x:c>
      <x:c r="G73" s="9" t="str">
        <x:v>“把酒话桑麻”，今天我就想多陪您说说家常。敬您身体好、心情好，咱们以后常坐一桌。</x:v>
      </x:c>
      <x:c r="H73" s="9" t="str">
        <x:v>“把酒话桑麻”，聊的都是日常小事。今天跟您坐在这儿，也想多听听您的近况，不用赶着说完。我敬您一杯，祝您生活舒心，也愿我们多有这样坐在一起的时候。</x:v>
      </x:c>
      <x:c r="I73" s="9" t="str">
        <x:v>To your well-being and to taking time to listen to your everyday stories.</x:v>
      </x:c>
      <x:c r="J73" s="9" t="str">
        <x:v>祝您安康，也愿我们多留时间听您说说日常。</x:v>
      </x:c>
      <x:c r="K73" s="9" t="str">
        <x:v>reunion</x:v>
      </x:c>
      <x:c r="L73" s="9" t="str">
        <x:v>相聚与再会</x:v>
      </x:c>
      <x:c r="M73" s="9" t="str">
        <x:v>把酒话桑麻</x:v>
      </x:c>
      <x:c r="N73" s="9" t="str">
        <x:v>称呼可以换成自己平时用的称呼；关心说具体一点，不把长辈当成致辞听众。</x:v>
      </x:c>
      <x:c r="O73" s="9" t="str">
        <x:v>未限定</x:v>
      </x:c>
      <x:c r="P73" s="9" t="str">
        <x:v>未限定</x:v>
      </x:c>
      <x:c r="Q73" s="9" t="str">
        <x:v>未限定</x:v>
      </x:c>
      <x:c r="R73" s="9" t="str">
        <x:v>引句后整理</x:v>
      </x:c>
      <x:c r="S73" s="9" t="str">
        <x:v>雅致</x:v>
      </x:c>
      <x:c r="T73" s="9" t="str">
        <x:v>茶也能敬人，这份牵挂一样。</x:v>
      </x:c>
      <x:c r="U73" s="9" t="str">
        <x:v>I’m raising a cup of tea, with the same warm wishes.</x:v>
      </x:c>
      <x:c r="V73" s="9" t="str">
        <x:v>“把酒话桑麻”，今天我就想多陪您说说家常。敬您身体好、心情好，咱们以后常坐一桌。</x:v>
      </x:c>
      <x:c r="W73" s="9" t="str">
        <x:v>“把酒话桑麻”，聊的都是日常小事。今天跟您坐在这儿，也想多听听您的近况，不用赶着说完。我敬您一杯，祝您生活舒心，也愿我们多有这样坐在一起的时候。</x:v>
      </x:c>
      <x:c r="X73" s="9" t="str">
        <x:v>spoken</x:v>
      </x:c>
      <x:c r="Y73" s="9" t="str">
        <x:v>verse</x:v>
      </x:c>
      <x:c r="Z73" s="9" t="str"/>
      <x:c r="AA73" s="12" t="str"/>
    </x:row>
    <x:row r="74" ht="42" customHeight="1">
      <x:c r="A74" s="8" t="str">
        <x:v>spoken-elders-07</x:v>
      </x:c>
      <x:c r="B74" s="10" t="n">
        <x:v>1</x:v>
      </x:c>
      <x:c r="C74" s="8" t="str">
        <x:v>当前推荐</x:v>
      </x:c>
      <x:c r="D74" s="8" t="str">
        <x:v>家人长辈</x:v>
      </x:c>
      <x:c r="E74" s="8" t="str">
        <x:v>长辈</x:v>
      </x:c>
      <x:c r="F74" s="8" t="str">
        <x:v>今天您先负责开心</x:v>
      </x:c>
      <x:c r="G74" s="8" t="str">
        <x:v>今天这杯敬您，先给您安排件轻松的事：好好吃饭，好好开心，别什么都替我们惦记。</x:v>
      </x:c>
      <x:c r="H74" s="8" t="str">
        <x:v>今天好不容易坐一起，您先把操心的事放一放，负责吃得好、聊得开心就行。这杯敬您，祝您身体好、精神好，往后的日子有自己的乐子，也有我们陪着。</x:v>
      </x:c>
      <x:c r="I74" s="8" t="str">
        <x:v>Today, your job is to enjoy yourself. Wishing you good health and plenty of happy moments.</x:v>
      </x:c>
      <x:c r="J74" s="8" t="str">
        <x:v>今天您先好好开心，祝您健康，也常有高兴的事。</x:v>
      </x:c>
      <x:c r="K74" s="8" t="str">
        <x:v>family</x:v>
      </x:c>
      <x:c r="L74" s="8" t="str">
        <x:v>一件日常，托住一份心意</x:v>
      </x:c>
      <x:c r="M74" s="8" t="str"/>
      <x:c r="N74" s="8" t="str">
        <x:v>称呼可以换成自己平时用的称呼；关心说具体一点，不把长辈当成致辞听众。</x:v>
      </x:c>
      <x:c r="O74" s="8" t="str">
        <x:v>未限定</x:v>
      </x:c>
      <x:c r="P74" s="8" t="str">
        <x:v>未限定</x:v>
      </x:c>
      <x:c r="Q74" s="8" t="str">
        <x:v>未限定</x:v>
      </x:c>
      <x:c r="R74" s="8" t="str">
        <x:v>依据表达方法整理</x:v>
      </x:c>
      <x:c r="S74" s="8" t="str">
        <x:v>诙谐</x:v>
      </x:c>
      <x:c r="T74" s="8" t="str">
        <x:v>我用茶敬您，您多保重。</x:v>
      </x:c>
      <x:c r="U74" s="8" t="str">
        <x:v>I’m raising a cup of tea, with the same warm wishes.</x:v>
      </x:c>
      <x:c r="V74" s="8" t="str">
        <x:v>今天这杯敬您，先给您安排件轻松的事：好好吃饭，好好开心，别什么都替我们惦记。</x:v>
      </x:c>
      <x:c r="W74" s="8" t="str">
        <x:v>今天好不容易坐一起，您先把操心的事放一放，负责吃得好、聊得开心就行。这杯敬您，祝您身体好、精神好，往后的日子有自己的乐子，也有我们陪着。</x:v>
      </x:c>
      <x:c r="X74" s="8" t="str">
        <x:v>spoken</x:v>
      </x:c>
      <x:c r="Y74" s="8" t="str">
        <x:v>fun</x:v>
      </x:c>
      <x:c r="Z74" s="8" t="str"/>
      <x:c r="AA74" s="12" t="str"/>
    </x:row>
    <x:row r="75" ht="42" customHeight="1">
      <x:c r="A75" s="9" t="str">
        <x:v>spoken-elders-08</x:v>
      </x:c>
      <x:c r="B75" s="11" t="n">
        <x:v>1</x:v>
      </x:c>
      <x:c r="C75" s="9" t="str">
        <x:v>当前推荐</x:v>
      </x:c>
      <x:c r="D75" s="9" t="str">
        <x:v>家人长辈</x:v>
      </x:c>
      <x:c r="E75" s="9" t="str">
        <x:v>长辈</x:v>
      </x:c>
      <x:c r="F75" s="9" t="str">
        <x:v>好话不能只留到过年</x:v>
      </x:c>
      <x:c r="G75" s="9" t="str">
        <x:v>好话不能只留到过年。今天也祝您身体好、心情好，想笑的时候有人陪您一起笑。</x:v>
      </x:c>
      <x:c r="H75" s="9" t="str">
        <x:v>平时一说祝福，好像非得等到逢年过节。今天我先提前说：祝您吃得香、睡得好，出门有兴致，回家有笑声。这杯敬您，咱们把平常日子也过好。</x:v>
      </x:c>
      <x:c r="I75" s="9" t="str">
        <x:v>Warm wishes shouldn’t wait for a holiday. To your health and happiness, today and every day.</x:v>
      </x:c>
      <x:c r="J75" s="9" t="str">
        <x:v>祝福不用等到节日，愿您今天和往后都健康开心。</x:v>
      </x:c>
      <x:c r="K75" s="9" t="str">
        <x:v>family</x:v>
      </x:c>
      <x:c r="L75" s="9" t="str">
        <x:v>一件日常，托住一份心意</x:v>
      </x:c>
      <x:c r="M75" s="9" t="str"/>
      <x:c r="N75" s="9" t="str">
        <x:v>称呼可以换成自己平时用的称呼；关心说具体一点，不把长辈当成致辞听众。</x:v>
      </x:c>
      <x:c r="O75" s="9" t="str">
        <x:v>未限定</x:v>
      </x:c>
      <x:c r="P75" s="9" t="str">
        <x:v>未限定</x:v>
      </x:c>
      <x:c r="Q75" s="9" t="str">
        <x:v>未限定</x:v>
      </x:c>
      <x:c r="R75" s="9" t="str">
        <x:v>依据表达方法整理</x:v>
      </x:c>
      <x:c r="S75" s="9" t="str">
        <x:v>诙谐</x:v>
      </x:c>
      <x:c r="T75" s="9" t="str">
        <x:v>今天以茶代酒，祝您每天都舒心。</x:v>
      </x:c>
      <x:c r="U75" s="9" t="str">
        <x:v>I’m raising a cup of tea, with the same warm wishes.</x:v>
      </x:c>
      <x:c r="V75" s="9" t="str">
        <x:v>好话不能只留到过年。今天也祝您身体好、心情好，想笑的时候有人陪您一起笑。</x:v>
      </x:c>
      <x:c r="W75" s="9" t="str">
        <x:v>平时一说祝福，好像非得等到逢年过节。今天我先提前说：祝您吃得香、睡得好，出门有兴致，回家有笑声。这杯敬您，咱们把平常日子也过好。</x:v>
      </x:c>
      <x:c r="X75" s="9" t="str">
        <x:v>spoken</x:v>
      </x:c>
      <x:c r="Y75" s="9" t="str">
        <x:v>fun</x:v>
      </x:c>
      <x:c r="Z75" s="9" t="str"/>
      <x:c r="AA75" s="12" t="str"/>
    </x:row>
    <x:row r="76" ht="42" customHeight="1">
      <x:c r="A76" s="8" t="str">
        <x:v>spoken-elders-09</x:v>
      </x:c>
      <x:c r="B76" s="10" t="n">
        <x:v>1</x:v>
      </x:c>
      <x:c r="C76" s="8" t="str">
        <x:v>当前推荐</x:v>
      </x:c>
      <x:c r="D76" s="8" t="str">
        <x:v>家人长辈</x:v>
      </x:c>
      <x:c r="E76" s="8" t="str">
        <x:v>长辈</x:v>
      </x:c>
      <x:c r="F76" s="8" t="str">
        <x:v>想做的事，慢慢做</x:v>
      </x:c>
      <x:c r="G76" s="8" t="str">
        <x:v>这杯敬您。愿您身体好，也有自己的小乐趣，想做的事慢慢做，高兴的日子慢慢过。</x:v>
      </x:c>
      <x:c r="H76" s="8" t="str">
        <x:v>除了祝您身体好，今天还想祝您日子过得有意思。喜欢的事多做一点，不想操心的事也能放一放。这杯敬您，愿您每天都有点盼头，也有我们惦记着。</x:v>
      </x:c>
      <x:c r="I76" s="8" t="str">
        <x:v>Wishing you good health, little pleasures, and time for the things you enjoy.</x:v>
      </x:c>
      <x:c r="J76" s="8" t="str">
        <x:v>祝您身体好、常有小乐趣，也有时间做喜欢的事。</x:v>
      </x:c>
      <x:c r="K76" s="8" t="str">
        <x:v>family</x:v>
      </x:c>
      <x:c r="L76" s="8" t="str">
        <x:v>一件日常，托住一份心意</x:v>
      </x:c>
      <x:c r="M76" s="8" t="str"/>
      <x:c r="N76" s="8" t="str">
        <x:v>称呼可以换成自己平时用的称呼；关心说具体一点，不把长辈当成致辞听众。</x:v>
      </x:c>
      <x:c r="O76" s="8" t="str">
        <x:v>未限定</x:v>
      </x:c>
      <x:c r="P76" s="8" t="str">
        <x:v>未限定</x:v>
      </x:c>
      <x:c r="Q76" s="8" t="str">
        <x:v>未限定</x:v>
      </x:c>
      <x:c r="R76" s="8" t="str">
        <x:v>依据表达方法整理</x:v>
      </x:c>
      <x:c r="S76" s="8" t="str">
        <x:v>雅致</x:v>
      </x:c>
      <x:c r="T76" s="8" t="str">
        <x:v>茶也能敬人，这份牵挂一样。</x:v>
      </x:c>
      <x:c r="U76" s="8" t="str">
        <x:v>I’m raising a cup of tea, with the same warm wishes.</x:v>
      </x:c>
      <x:c r="V76" s="8" t="str">
        <x:v>这杯敬您。愿您身体好，也有自己的小乐趣，想做的事慢慢做，高兴的日子慢慢过。</x:v>
      </x:c>
      <x:c r="W76" s="8" t="str">
        <x:v>除了祝您身体好，今天还想祝您日子过得有意思。喜欢的事多做一点，不想操心的事也能放一放。这杯敬您，愿您每天都有点盼头，也有我们惦记着。</x:v>
      </x:c>
      <x:c r="X76" s="8" t="str">
        <x:v>spoken</x:v>
      </x:c>
      <x:c r="Y76" s="8" t="str">
        <x:v>plain</x:v>
      </x:c>
      <x:c r="Z76" s="8" t="str"/>
      <x:c r="AA76" s="12" t="str"/>
    </x:row>
    <x:row r="77" ht="42" customHeight="1">
      <x:c r="A77" s="9" t="str">
        <x:v>spoken-elders-10</x:v>
      </x:c>
      <x:c r="B77" s="11" t="n">
        <x:v>1</x:v>
      </x:c>
      <x:c r="C77" s="9" t="str">
        <x:v>当前推荐</x:v>
      </x:c>
      <x:c r="D77" s="9" t="str">
        <x:v>家人长辈</x:v>
      </x:c>
      <x:c r="E77" s="9" t="str">
        <x:v>长辈</x:v>
      </x:c>
      <x:c r="F77" s="9" t="str">
        <x:v>长久的祝愿，落在每一天</x:v>
      </x:c>
      <x:c r="G77" s="9" t="str">
        <x:v>“以介眉寿”，长久的祝愿送给您。眼前也盼您每天吃得香，过得舒心，这杯敬您。</x:v>
      </x:c>
      <x:c r="H77" s="9" t="str">
        <x:v>“以介眉寿”，这份长久的祝愿，我也送给您。落到每天，就是盼您吃得香、睡得好、有人说话、常有笑声。今天这杯敬您，也祝咱们往后多多相聚。</x:v>
      </x:c>
      <x:c r="I77" s="9" t="str">
        <x:v>May a long life be filled with restful nights, good company, and everyday happiness.</x:v>
      </x:c>
      <x:c r="J77" s="9" t="str">
        <x:v>愿长久的日子里，有好睡眠、有人相伴，也有日常的开心。</x:v>
      </x:c>
      <x:c r="K77" s="9" t="str">
        <x:v>longevity</x:v>
      </x:c>
      <x:c r="L77" s="9" t="str">
        <x:v>《诗经·豳风·七月》</x:v>
      </x:c>
      <x:c r="M77" s="9" t="str">
        <x:v>为此春酒，以介眉寿。</x:v>
      </x:c>
      <x:c r="N77" s="9" t="str">
        <x:v>称呼可以换成自己平时用的称呼；关心说具体一点，不把长辈当成致辞听众。</x:v>
      </x:c>
      <x:c r="O77" s="9" t="str">
        <x:v>未限定</x:v>
      </x:c>
      <x:c r="P77" s="9" t="str">
        <x:v>未限定</x:v>
      </x:c>
      <x:c r="Q77" s="9" t="str">
        <x:v>未限定</x:v>
      </x:c>
      <x:c r="R77" s="9" t="str">
        <x:v>引句后整理</x:v>
      </x:c>
      <x:c r="S77" s="9" t="str">
        <x:v>雅致</x:v>
      </x:c>
      <x:c r="T77" s="9" t="str">
        <x:v>我用茶敬您，您多保重。</x:v>
      </x:c>
      <x:c r="U77" s="9" t="str">
        <x:v>I’m raising a cup of tea, with the same warm wishes.</x:v>
      </x:c>
      <x:c r="V77" s="9" t="str">
        <x:v>“以介眉寿”，长久的祝愿送给您。眼前也盼您每天吃得香，过得舒心，这杯敬您。</x:v>
      </x:c>
      <x:c r="W77" s="9" t="str">
        <x:v>“以介眉寿”，这份长久的祝愿，我也送给您。落到每天，就是盼您吃得香、睡得好、有人说话、常有笑声。今天这杯敬您，也祝咱们往后多多相聚。</x:v>
      </x:c>
      <x:c r="X77" s="9" t="str">
        <x:v>spoken</x:v>
      </x:c>
      <x:c r="Y77" s="9" t="str">
        <x:v>verse</x:v>
      </x:c>
      <x:c r="Z77" s="9" t="str"/>
      <x:c r="AA77" s="12" t="str"/>
    </x:row>
    <x:row r="78" ht="42" customHeight="1">
      <x:c r="A78" s="8" t="str">
        <x:v>spoken-elders-11</x:v>
      </x:c>
      <x:c r="B78" s="10" t="n">
        <x:v>1</x:v>
      </x:c>
      <x:c r="C78" s="8" t="str">
        <x:v>当前推荐</x:v>
      </x:c>
      <x:c r="D78" s="8" t="str">
        <x:v>家人长辈</x:v>
      </x:c>
      <x:c r="E78" s="8" t="str">
        <x:v>长辈</x:v>
      </x:c>
      <x:c r="F78" s="8" t="str">
        <x:v>开心的事，您也得排前头</x:v>
      </x:c>
      <x:c r="G78" s="8" t="str">
        <x:v>家里的事要紧，您自己的开心也得排前头。这杯敬您，祝您天天有乐子，顿顿有胃口。</x:v>
      </x:c>
      <x:c r="H78" s="8" t="str">
        <x:v>今天我想多祝您一点：家里的事要紧，您自己的开心也要紧。喜欢的事情别总往后放，好吃的也别总让给别人。这杯敬您，愿您舒心、安康。</x:v>
      </x:c>
      <x:c r="I78" s="8" t="str">
        <x:v>Your happiness matters too. Wishing you good health and plenty of little joys.</x:v>
      </x:c>
      <x:c r="J78" s="8" t="str">
        <x:v>您的开心也要紧，祝您健康，也常有小欢喜。</x:v>
      </x:c>
      <x:c r="K78" s="8" t="str">
        <x:v>family</x:v>
      </x:c>
      <x:c r="L78" s="8" t="str">
        <x:v>一件日常，托住一份心意</x:v>
      </x:c>
      <x:c r="M78" s="8" t="str"/>
      <x:c r="N78" s="8" t="str">
        <x:v>称呼可以换成自己平时用的称呼；关心说具体一点，不把长辈当成致辞听众。</x:v>
      </x:c>
      <x:c r="O78" s="8" t="str">
        <x:v>未限定</x:v>
      </x:c>
      <x:c r="P78" s="8" t="str">
        <x:v>未限定</x:v>
      </x:c>
      <x:c r="Q78" s="8" t="str">
        <x:v>未限定</x:v>
      </x:c>
      <x:c r="R78" s="8" t="str">
        <x:v>依据表达方法整理</x:v>
      </x:c>
      <x:c r="S78" s="8" t="str">
        <x:v>诙谐</x:v>
      </x:c>
      <x:c r="T78" s="8" t="str">
        <x:v>今天以茶代酒，祝您每天都舒心。</x:v>
      </x:c>
      <x:c r="U78" s="8" t="str">
        <x:v>I’m raising a cup of tea, with the same warm wishes.</x:v>
      </x:c>
      <x:c r="V78" s="8" t="str">
        <x:v>家里的事要紧，您自己的开心也得排前头。这杯敬您，祝您天天有乐子，顿顿有胃口。</x:v>
      </x:c>
      <x:c r="W78" s="8" t="str">
        <x:v>今天我想多祝您一点：家里的事要紧，您自己的开心也要紧。喜欢的事情别总往后放，好吃的也别总让给别人。这杯敬您，愿您舒心、安康。</x:v>
      </x:c>
      <x:c r="X78" s="8" t="str">
        <x:v>spoken</x:v>
      </x:c>
      <x:c r="Y78" s="8" t="str">
        <x:v>fun</x:v>
      </x:c>
      <x:c r="Z78" s="8" t="str"/>
      <x:c r="AA78" s="12" t="str"/>
    </x:row>
    <x:row r="79" ht="42" customHeight="1">
      <x:c r="A79" s="9" t="str">
        <x:v>spoken-elders-12</x:v>
      </x:c>
      <x:c r="B79" s="11" t="n">
        <x:v>1</x:v>
      </x:c>
      <x:c r="C79" s="9" t="str">
        <x:v>当前推荐</x:v>
      </x:c>
      <x:c r="D79" s="9" t="str">
        <x:v>家人长辈</x:v>
      </x:c>
      <x:c r="E79" s="9" t="str">
        <x:v>长辈</x:v>
      </x:c>
      <x:c r="F79" s="9" t="str">
        <x:v>多笑一笑，咱们都高兴</x:v>
      </x:c>
      <x:c r="G79" s="9" t="str">
        <x:v>您多笑一笑，咱们这一桌都高兴。这杯敬您，祝您身体有劲，生活有趣。</x:v>
      </x:c>
      <x:c r="H79" s="9" t="str">
        <x:v>今天一家人坐在这儿，最愿意看到的就是您高兴。这杯祝您身体有劲，生活有趣，想出去走走就有兴致，想在家歇歇也能踏实。咱们往后常聚。</x:v>
      </x:c>
      <x:c r="I79" s="9" t="str">
        <x:v>May you have energy for what you enjoy and peace when you choose to rest.</x:v>
      </x:c>
      <x:c r="J79" s="9" t="str">
        <x:v>愿您有精神做喜欢的事，也能安心休息。</x:v>
      </x:c>
      <x:c r="K79" s="9" t="str">
        <x:v>family</x:v>
      </x:c>
      <x:c r="L79" s="9" t="str">
        <x:v>一件日常，托住一份心意</x:v>
      </x:c>
      <x:c r="M79" s="9" t="str"/>
      <x:c r="N79" s="9" t="str">
        <x:v>称呼可以换成自己平时用的称呼；关心说具体一点，不把长辈当成致辞听众。</x:v>
      </x:c>
      <x:c r="O79" s="9" t="str">
        <x:v>未限定</x:v>
      </x:c>
      <x:c r="P79" s="9" t="str">
        <x:v>未限定</x:v>
      </x:c>
      <x:c r="Q79" s="9" t="str">
        <x:v>未限定</x:v>
      </x:c>
      <x:c r="R79" s="9" t="str">
        <x:v>依据表达方法整理</x:v>
      </x:c>
      <x:c r="S79" s="9" t="str">
        <x:v>诙谐</x:v>
      </x:c>
      <x:c r="T79" s="9" t="str">
        <x:v>茶也能敬人，这份牵挂一样。</x:v>
      </x:c>
      <x:c r="U79" s="9" t="str">
        <x:v>I’m raising a cup of tea, with the same warm wishes.</x:v>
      </x:c>
      <x:c r="V79" s="9" t="str">
        <x:v>您多笑一笑，咱们这一桌都高兴。这杯敬您，祝您身体有劲，生活有趣。</x:v>
      </x:c>
      <x:c r="W79" s="9" t="str">
        <x:v>今天一家人坐在这儿，最愿意看到的就是您高兴。这杯祝您身体有劲，生活有趣，想出去走走就有兴致，想在家歇歇也能踏实。咱们往后常聚。</x:v>
      </x:c>
      <x:c r="X79" s="9" t="str">
        <x:v>spoken</x:v>
      </x:c>
      <x:c r="Y79" s="9" t="str">
        <x:v>fun</x:v>
      </x:c>
      <x:c r="Z79" s="9" t="str"/>
      <x:c r="AA79" s="12" t="str"/>
    </x:row>
    <x:row r="80" ht="57" customHeight="1">
      <x:c r="A80" s="8" t="str">
        <x:v>verse-du-lamplight-elder</x:v>
      </x:c>
      <x:c r="B80" s="10" t="n">
        <x:v>1</x:v>
      </x:c>
      <x:c r="C80" s="8" t="str">
        <x:v>当前推荐</x:v>
      </x:c>
      <x:c r="D80" s="8" t="str">
        <x:v>家人长辈</x:v>
      </x:c>
      <x:c r="E80" s="8" t="str">
        <x:v>长辈</x:v>
      </x:c>
      <x:c r="F80" s="8" t="str">
        <x:v>相陪，是最实在的祝愿</x:v>
      </x:c>
      <x:c r="G80" s="8" t="str">
        <x:v>“今夕复何夕，共此灯烛光。”今天能坐在您身边，说几句家常，就很高兴。这杯敬您，愿您少点操心、多点舒心，咱们常相聚。</x:v>
      </x:c>
      <x:c r="H80" s="8" t="str">
        <x:v>“今夕复何夕，共此灯烛光。”杜甫把重逢写得很珍重。我今天借这句，敬与您同桌的这一刻。好话不只留在杯里，以后也想多留些时间，坐下来陪您说说近况。祝您每天过得舒心，也愿咱们多有这样的团圆。</x:v>
      </x:c>
      <x:c r="I80" s="8" t="str">
        <x:v>To the pleasure of sitting with you, hearing your news, and making more time to be together.</x:v>
      </x:c>
      <x:c r="J80" s="8" t="str">
        <x:v>敬与您相陪的时光，也愿以后常能坐下来聊家常。</x:v>
      </x:c>
      <x:c r="K80" s="8" t="str">
        <x:v>poem-du-lamplight</x:v>
      </x:c>
      <x:c r="L80" s="8" t="str">
        <x:v>杜甫《赠卫八处士》</x:v>
      </x:c>
      <x:c r="M80" s="8" t="str">
        <x:v>今夕复何夕，共此灯烛光。</x:v>
      </x:c>
      <x:c r="N80" s="8" t="str">
        <x:v>原诗久别重逢，兼有岁月感慨；此处只借同灯相坐的珍惜，不编造二十年未见。</x:v>
      </x:c>
      <x:c r="O80" s="8" t="str">
        <x:v>夜晚小酌、好友知己、团圆相聚</x:v>
      </x:c>
      <x:c r="P80" s="8" t="str">
        <x:v>未限定</x:v>
      </x:c>
      <x:c r="Q80" s="8" t="str">
        <x:v>未限定</x:v>
      </x:c>
      <x:c r="R80" s="8" t="str">
        <x:v>引句后整理</x:v>
      </x:c>
      <x:c r="S80" s="8" t="str">
        <x:v>雅致</x:v>
      </x:c>
      <x:c r="T80" s="8" t="str">
        <x:v>我以茶代酒，心意一样。</x:v>
      </x:c>
      <x:c r="U80" s="8" t="str">
        <x:v>With tea in my cup and the same warm wishes.</x:v>
      </x:c>
      <x:c r="V80" s="8" t="str">
        <x:v>“今夕复何夕，共此灯烛光。”今天能坐在您身边，说几句家常，就很高兴。这杯敬您，愿您少点操心、多点舒心，咱们常相聚。</x:v>
      </x:c>
      <x:c r="W80" s="8" t="str">
        <x:v>“今夕复何夕，共此灯烛光。”杜甫把重逢写得很珍重。我今天借这句，敬与您同桌的这一刻。好话不只留在杯里，以后也想多留些时间，坐下来陪您说说近况。祝您每天过得舒心，也愿咱们多有这样的团圆。</x:v>
      </x:c>
      <x:c r="X80" s="8" t="str">
        <x:v>spoken</x:v>
      </x:c>
      <x:c r="Y80" s="8" t="str">
        <x:v>verse</x:v>
      </x:c>
      <x:c r="Z80" s="8" t="str"/>
      <x:c r="AA80" s="12" t="str"/>
    </x:row>
    <x:row r="81" ht="57" customHeight="1">
      <x:c r="A81" s="9" t="str">
        <x:v>verse-li-followmoon</x:v>
      </x:c>
      <x:c r="B81" s="11" t="n">
        <x:v>1</x:v>
      </x:c>
      <x:c r="C81" s="9" t="str">
        <x:v>当前推荐</x:v>
      </x:c>
      <x:c r="D81" s="9" t="str">
        <x:v>家人长辈</x:v>
      </x:c>
      <x:c r="E81" s="9" t="str">
        <x:v>长辈</x:v>
      </x:c>
      <x:c r="F81" s="9" t="str">
        <x:v>牵挂，不必说得很大</x:v>
      </x:c>
      <x:c r="G81" s="9" t="str">
        <x:v>“人攀明月不可得，月行却与人相随。”有些牵挂也这样，不用天天挂在嘴边，却一直在心里。这杯敬您，愿日子舒心，咱们常聚。</x:v>
      </x:c>
      <x:c r="H81" s="9" t="str">
        <x:v>“人攀明月不可得，月行却与人相随。”李白写的是月亮，我今天借它说一份牵挂：不一定天天说出口，却一直放在心里。这杯敬您，盼您少操一点心，多留一点闲；往后咱们多坐一桌，家常慢慢说。</x:v>
      </x:c>
      <x:c r="I81" s="9" t="str">
        <x:v>To you, with affection that stays close even when we do not say it every day. May we spend more time together.</x:v>
      </x:c>
      <x:c r="J81" s="9" t="str">
        <x:v>敬您，也把平日未常说出口的牵挂送到，盼多些相聚。</x:v>
      </x:c>
      <x:c r="K81" s="9" t="str">
        <x:v>poem-li-followmoon</x:v>
      </x:c>
      <x:c r="L81" s="9" t="str">
        <x:v>李白《把酒问月》</x:v>
      </x:c>
      <x:c r="M81" s="9" t="str">
        <x:v>人攀明月不可得，月行却与人相随。</x:v>
      </x:c>
      <x:c r="N81" s="9" t="str">
        <x:v>诗里写月不可攀却与人相随；此处转为相伴的祝愿，不把原诗说成家庭诗。</x:v>
      </x:c>
      <x:c r="O81" s="9" t="str">
        <x:v>月色入杯、团圆相聚</x:v>
      </x:c>
      <x:c r="P81" s="9" t="str">
        <x:v>未限定</x:v>
      </x:c>
      <x:c r="Q81" s="9" t="str">
        <x:v>未限定</x:v>
      </x:c>
      <x:c r="R81" s="9" t="str">
        <x:v>引句后整理</x:v>
      </x:c>
      <x:c r="S81" s="9" t="str">
        <x:v>雅致</x:v>
      </x:c>
      <x:c r="T81" s="9" t="str">
        <x:v>我以茶代酒，心意一样。</x:v>
      </x:c>
      <x:c r="U81" s="9" t="str">
        <x:v>With tea in my cup and the same warm wishes.</x:v>
      </x:c>
      <x:c r="V81" s="9" t="str">
        <x:v>“人攀明月不可得，月行却与人相随。”有些牵挂也这样，不用天天挂在嘴边，却一直在心里。这杯敬您，愿日子舒心，咱们常聚。</x:v>
      </x:c>
      <x:c r="W81" s="9" t="str">
        <x:v>“人攀明月不可得，月行却与人相随。”李白写的是月亮，我今天借它说一份牵挂：不一定天天说出口，却一直放在心里。这杯敬您，盼您少操一点心，多留一点闲；往后咱们多坐一桌，家常慢慢说。</x:v>
      </x:c>
      <x:c r="X81" s="9" t="str">
        <x:v>spoken</x:v>
      </x:c>
      <x:c r="Y81" s="9" t="str">
        <x:v>verse</x:v>
      </x:c>
      <x:c r="Z81" s="9" t="str"/>
      <x:c r="AA81" s="12" t="str"/>
    </x:row>
    <x:row r="82" ht="57" customHeight="1">
      <x:c r="A82" s="8" t="str">
        <x:v>verse-su-midautumn-elder</x:v>
      </x:c>
      <x:c r="B82" s="10" t="n">
        <x:v>1</x:v>
      </x:c>
      <x:c r="C82" s="8" t="str">
        <x:v>当前推荐</x:v>
      </x:c>
      <x:c r="D82" s="8" t="str">
        <x:v>家人长辈</x:v>
      </x:c>
      <x:c r="E82" s="8" t="str">
        <x:v>长辈</x:v>
      </x:c>
      <x:c r="F82" s="8" t="str">
        <x:v>中秋敬您，团圆常在</x:v>
      </x:c>
      <x:c r="G82" s="8" t="str">
        <x:v>“暮云收尽溢清寒，银汉无声转玉盘。”今天中秋，借月圆的好意敬您。愿您日子舒心，家常有伴，咱们不只过节才团圆。</x:v>
      </x:c>
      <x:c r="H82" s="8" t="str">
        <x:v>“暮云收尽溢清寒，银汉无声转玉盘。”苏轼的中秋月，写的是好景，也让人珍惜眼前相伴。今天这杯敬您，愿您少一点操心，多一点舒心；以后咱们多留些时间坐一桌，不只过节才团圆，平常也常来陪您说说话。</x:v>
      </x:c>
      <x:c r="I82" s="8" t="str">
        <x:v>On Mid-Autumn, warm wishes to you. May we make time to be together on ordinary days as well as holidays.</x:v>
      </x:c>
      <x:c r="J82" s="8" t="str">
        <x:v>中秋敬您，也愿平常日子多些相陪，不只节日才团圆。</x:v>
      </x:c>
      <x:c r="K82" s="8" t="str">
        <x:v>poem-su-midautumn</x:v>
      </x:c>
      <x:c r="L82" s="8" t="str">
        <x:v>苏轼《阳关曲·中秋月》</x:v>
      </x:c>
      <x:c r="M82" s="8" t="str">
        <x:v>暮云收尽溢清寒，银汉无声转玉盘。</x:v>
      </x:c>
      <x:c r="N82" s="8" t="str">
        <x:v>原词中秋赏月，后半有好景难常的感慨；借珍惜团圆，不把云开见月当作现场天气。</x:v>
      </x:c>
      <x:c r="O82" s="8" t="str">
        <x:v>月色入杯、夜晚小酌、邀饮待客、团圆相聚</x:v>
      </x:c>
      <x:c r="P82" s="8" t="str">
        <x:v>未限定</x:v>
      </x:c>
      <x:c r="Q82" s="8" t="str">
        <x:v>中秋</x:v>
      </x:c>
      <x:c r="R82" s="8" t="str">
        <x:v>引句后整理</x:v>
      </x:c>
      <x:c r="S82" s="8" t="str">
        <x:v>雅致</x:v>
      </x:c>
      <x:c r="T82" s="8" t="str">
        <x:v>我以茶代酒，心意一样。</x:v>
      </x:c>
      <x:c r="U82" s="8" t="str">
        <x:v>With tea in my cup and the same warm wishes.</x:v>
      </x:c>
      <x:c r="V82" s="8" t="str">
        <x:v>“暮云收尽溢清寒，银汉无声转玉盘。”今天中秋，借月圆的好意敬您。愿您日子舒心，家常有伴，咱们不只过节才团圆。</x:v>
      </x:c>
      <x:c r="W82" s="8" t="str">
        <x:v>“暮云收尽溢清寒，银汉无声转玉盘。”苏轼的中秋月，写的是好景，也让人珍惜眼前相伴。今天这杯敬您，愿您少一点操心，多一点舒心；以后咱们多留些时间坐一桌，不只过节才团圆，平常也常来陪您说说话。</x:v>
      </x:c>
      <x:c r="X82" s="8" t="str">
        <x:v>spoken</x:v>
      </x:c>
      <x:c r="Y82" s="8" t="str">
        <x:v>verse</x:v>
      </x:c>
      <x:c r="Z82" s="8" t="str"/>
      <x:c r="AA82" s="12" t="str"/>
    </x:row>
    <x:row r="83" ht="57" customHeight="1">
      <x:c r="A83" s="9" t="str">
        <x:v>culture-family-01</x:v>
      </x:c>
      <x:c r="B83" s="11" t="n">
        <x:v>1</x:v>
      </x:c>
      <x:c r="C83" s="9" t="str">
        <x:v>当前推荐</x:v>
      </x:c>
      <x:c r="D83" s="9" t="str">
        <x:v>家人长辈</x:v>
      </x:c>
      <x:c r="E83" s="9" t="str">
        <x:v>全桌</x:v>
      </x:c>
      <x:c r="F83" s="9" t="str">
        <x:v>家常有味，团圆有光</x:v>
      </x:c>
      <x:c r="G83" s="9" t="str">
        <x:v>饭菜有香，家常有暖；心里有念，桌前有伴。敬咱们这一家，愿出门顺当，回家心安。</x:v>
      </x:c>
      <x:c r="H83" s="9" t="str">
        <x:v>饭菜有香，家常有暖；心里有念，桌前有伴。一家人吃顿饭，不用把话说得多大，能彼此惦记就好。这杯敬咱们这一家：愿出门顺当，回家心安；忙时有人体谅，闲时常能团圆。</x:v>
      </x:c>
      <x:c r="I83" s="9" t="str">
        <x:v>To the warmth of home, peace of mind, and more meals together.</x:v>
      </x:c>
      <x:c r="J83" s="9" t="str">
        <x:v>敬家中的温暖，愿心里安稳，也愿常能同桌吃饭。</x:v>
      </x:c>
      <x:c r="K83" s="9" t="str">
        <x:v>family</x:v>
      </x:c>
      <x:c r="L83" s="9" t="str">
        <x:v>一件日常，托住一份心意</x:v>
      </x:c>
      <x:c r="M83" s="9" t="str"/>
      <x:c r="N83" s="9" t="str">
        <x:v>原创对偶稿；照顾全家，不假定家庭成员、婚育或健康状况。</x:v>
      </x:c>
      <x:c r="O83" s="9" t="str">
        <x:v>未限定</x:v>
      </x:c>
      <x:c r="P83" s="9" t="str">
        <x:v>未限定</x:v>
      </x:c>
      <x:c r="Q83" s="9" t="str">
        <x:v>未限定</x:v>
      </x:c>
      <x:c r="R83" s="9" t="str">
        <x:v>依据表达方法整理</x:v>
      </x:c>
      <x:c r="S83" s="9" t="str">
        <x:v>雅致</x:v>
      </x:c>
      <x:c r="T83" s="9" t="str">
        <x:v>今天以茶代酒，心意一样真。</x:v>
      </x:c>
      <x:c r="U83" s="9" t="str">
        <x:v>With tea in my cup and the same warm wishes.</x:v>
      </x:c>
      <x:c r="V83" s="9" t="str">
        <x:v>饭菜有香，家常有暖；心里有念，桌前有伴。敬咱们这一家，愿出门顺当，回家心安。</x:v>
      </x:c>
      <x:c r="W83" s="9" t="str">
        <x:v>饭菜有香，家常有暖；心里有念，桌前有伴。一家人吃顿饭，不用把话说得多大，能彼此惦记就好。这杯敬咱们这一家：愿出门顺当，回家心安；忙时有人体谅，闲时常能团圆。</x:v>
      </x:c>
      <x:c r="X83" s="9" t="str">
        <x:v>spoken</x:v>
      </x:c>
      <x:c r="Y83" s="9" t="str">
        <x:v>rhymed</x:v>
      </x:c>
      <x:c r="Z83" s="9" t="str"/>
      <x:c r="AA83" s="12" t="str"/>
    </x:row>
    <x:row r="84" ht="57" customHeight="1">
      <x:c r="A84" s="8" t="str">
        <x:v>culture-family-02</x:v>
      </x:c>
      <x:c r="B84" s="10" t="n">
        <x:v>1</x:v>
      </x:c>
      <x:c r="C84" s="8" t="str">
        <x:v>当前推荐</x:v>
      </x:c>
      <x:c r="D84" s="8" t="str">
        <x:v>家人长辈</x:v>
      </x:c>
      <x:c r="E84" s="8" t="str">
        <x:v>全桌</x:v>
      </x:c>
      <x:c r="F84" s="8" t="str">
        <x:v>好日子，节节高</x:v>
      </x:c>
      <x:c r="G84" s="8" t="str">
        <x:v>芝麻开花——节节高。咱们一家不比谁酒量好，就盼人人身体好、心情好；饭常一起吃，话常一起聊。</x:v>
      </x:c>
      <x:c r="H84" s="8" t="str">
        <x:v>芝麻开花——节节高，借这句老话祝咱们一家日子越过越好。不比谁酒量好，就盼人人身体好、心情好。忙的时候彼此惦记，闲下来了就坐一桌：饭常一起吃，话常一起聊，有说有笑就是好。</x:v>
      </x:c>
      <x:c r="I84" s="8" t="str">
        <x:v>To better days for our family, good health, good spirits, and more time around this table.</x:v>
      </x:c>
      <x:c r="J84" s="8" t="str">
        <x:v>祝一家人日子更好，身体和心情都好，也常有同桌的时光。</x:v>
      </x:c>
      <x:c r="K84" s="8" t="str">
        <x:v>folkSesame</x:v>
      </x:c>
      <x:c r="L84" s="8" t="str">
        <x:v>芝麻开花——节节高</x:v>
      </x:c>
      <x:c r="M84" s="8" t="str">
        <x:v>芝麻开花——节节高</x:v>
      </x:c>
      <x:c r="N84" s="8" t="str">
        <x:v>民间歇后语接家常祝愿；有未成年人也不劝饮。</x:v>
      </x:c>
      <x:c r="O84" s="8" t="str">
        <x:v>未限定</x:v>
      </x:c>
      <x:c r="P84" s="8" t="str">
        <x:v>未限定</x:v>
      </x:c>
      <x:c r="Q84" s="8" t="str">
        <x:v>未限定</x:v>
      </x:c>
      <x:c r="R84" s="8" t="str">
        <x:v>依据表达方法整理</x:v>
      </x:c>
      <x:c r="S84" s="8" t="str">
        <x:v>诙谐</x:v>
      </x:c>
      <x:c r="T84" s="8" t="str">
        <x:v>今天以茶代酒，心意一样真。</x:v>
      </x:c>
      <x:c r="U84" s="8" t="str">
        <x:v>With tea in my cup and the same warm wishes.</x:v>
      </x:c>
      <x:c r="V84" s="8" t="str">
        <x:v>芝麻开花——节节高。咱们一家不比谁酒量好，就盼人人身体好、心情好；饭常一起吃，话常一起聊。</x:v>
      </x:c>
      <x:c r="W84" s="8" t="str">
        <x:v>芝麻开花——节节高，借这句老话祝咱们一家日子越过越好。不比谁酒量好，就盼人人身体好、心情好。忙的时候彼此惦记，闲下来了就坐一桌：饭常一起吃，话常一起聊，有说有笑就是好。</x:v>
      </x:c>
      <x:c r="X84" s="8" t="str">
        <x:v>spoken</x:v>
      </x:c>
      <x:c r="Y84" s="8" t="str">
        <x:v>fun</x:v>
      </x:c>
      <x:c r="Z84" s="8" t="str"/>
      <x:c r="AA84" s="12" t="str"/>
    </x:row>
    <x:row r="85" ht="57" customHeight="1">
      <x:c r="A85" s="9" t="str">
        <x:v>family-02</x:v>
      </x:c>
      <x:c r="B85" s="11" t="n">
        <x:v>1</x:v>
      </x:c>
      <x:c r="C85" s="9" t="str">
        <x:v>当前推荐</x:v>
      </x:c>
      <x:c r="D85" s="9" t="str">
        <x:v>家人长辈</x:v>
      </x:c>
      <x:c r="E85" s="9" t="str">
        <x:v>全桌</x:v>
      </x:c>
      <x:c r="F85" s="9" t="str">
        <x:v>团圆在眼前</x:v>
      </x:c>
      <x:c r="G85" s="9" t="str">
        <x:v>一桌饭菜，一席团圆；愿家中常有笑，心中常有暖。
借这一杯，敬大家。</x:v>
      </x:c>
      <x:c r="H85" s="9" t="str">
        <x:v>一桌饭菜，一席团圆，就是日子里踏实的欢喜。借这一杯，愿家中常有笑，心中常有暖；各自忙碌时顺顺当当，围坐一起时和和美美。
借这一杯，敬大家。</x:v>
      </x:c>
      <x:c r="I85" s="9" t="str">
        <x:v>To a warm home, peaceful days, and the happiness of being together.</x:v>
      </x:c>
      <x:c r="J85" s="9" t="str">
        <x:v>祝家中温暖、日子平安，也敬团聚的欢喜。</x:v>
      </x:c>
      <x:c r="K85" s="9" t="str">
        <x:v>family</x:v>
      </x:c>
      <x:c r="L85" s="9" t="str">
        <x:v>一件日常，托住一份心意</x:v>
      </x:c>
      <x:c r="M85" s="9" t="str"/>
      <x:c r="N85" s="9" t="str">
        <x:v>不用默认每个家庭都有子女或夫妻。</x:v>
      </x:c>
      <x:c r="O85" s="9" t="str">
        <x:v>未限定</x:v>
      </x:c>
      <x:c r="P85" s="9" t="str">
        <x:v>未限定</x:v>
      </x:c>
      <x:c r="Q85" s="9" t="str">
        <x:v>未限定</x:v>
      </x:c>
      <x:c r="R85" s="9" t="str">
        <x:v>依据表达方法整理</x:v>
      </x:c>
      <x:c r="S85" s="9" t="str">
        <x:v>雅致</x:v>
      </x:c>
      <x:c r="T85" s="9" t="str"/>
      <x:c r="U85" s="9" t="str"/>
      <x:c r="V85" s="9" t="str">
        <x:v>一桌饭菜，一席团圆；愿家中常有笑，心中常有暖。</x:v>
      </x:c>
      <x:c r="W85" s="9" t="str">
        <x:v>一桌饭菜，一席团圆，就是日子里踏实的欢喜。借这一杯，愿家中常有笑，心中常有暖；各自忙碌时顺顺当当，围坐一起时和和美美。</x:v>
      </x:c>
      <x:c r="X85" s="9" t="str"/>
      <x:c r="Y85" s="9" t="str"/>
      <x:c r="Z85" s="9" t="str"/>
      <x:c r="AA85" s="12" t="str"/>
    </x:row>
    <x:row r="86" ht="57" customHeight="1">
      <x:c r="A86" s="8" t="str">
        <x:v>family-03</x:v>
      </x:c>
      <x:c r="B86" s="10" t="n">
        <x:v>1</x:v>
      </x:c>
      <x:c r="C86" s="8" t="str">
        <x:v>当前推荐</x:v>
      </x:c>
      <x:c r="D86" s="8" t="str">
        <x:v>家人长辈</x:v>
      </x:c>
      <x:c r="E86" s="8" t="str">
        <x:v>全桌</x:v>
      </x:c>
      <x:c r="F86" s="8" t="str">
        <x:v>把日子过香</x:v>
      </x:c>
      <x:c r="G86" s="8" t="str">
        <x:v>饭菜趁热，心意趁此刻；愿一家人平安相伴，把日子过得有滋味。
借这一杯，敬大家。</x:v>
      </x:c>
      <x:c r="H86" s="8" t="str">
        <x:v>饭菜要趁热，心意也趁此刻说。今天借这一杯，祝一家人吃饭有香气，说话有笑意；平安常在，牵挂常通，把平常的日子过出好滋味。
借这一杯，敬大家。</x:v>
      </x:c>
      <x:c r="I86" s="8" t="str">
        <x:v>To warm meals, shared laughter, and ordinary days made special.</x:v>
      </x:c>
      <x:c r="J86" s="8" t="str">
        <x:v>敬热饭、笑声，也愿平常日子有滋有味。</x:v>
      </x:c>
      <x:c r="K86" s="8" t="str">
        <x:v>family</x:v>
      </x:c>
      <x:c r="L86" s="8" t="str">
        <x:v>一件日常，托住一份心意</x:v>
      </x:c>
      <x:c r="M86" s="8" t="str"/>
      <x:c r="N86" s="8" t="str">
        <x:v>轻松亲切，避免变成要求别人承担做饭任务。</x:v>
      </x:c>
      <x:c r="O86" s="8" t="str">
        <x:v>未限定</x:v>
      </x:c>
      <x:c r="P86" s="8" t="str">
        <x:v>未限定</x:v>
      </x:c>
      <x:c r="Q86" s="8" t="str">
        <x:v>未限定</x:v>
      </x:c>
      <x:c r="R86" s="8" t="str">
        <x:v>依据表达方法整理</x:v>
      </x:c>
      <x:c r="S86" s="8" t="str">
        <x:v>诙谐</x:v>
      </x:c>
      <x:c r="T86" s="8" t="str"/>
      <x:c r="U86" s="8" t="str"/>
      <x:c r="V86" s="8" t="str">
        <x:v>饭菜趁热，心意趁此刻；愿一家人平安相伴，把日子过得有滋味。</x:v>
      </x:c>
      <x:c r="W86" s="8" t="str">
        <x:v>饭菜要趁热，心意也趁此刻说。今天借这一杯，祝一家人吃饭有香气，说话有笑意；平安常在，牵挂常通，把平常的日子过出好滋味。</x:v>
      </x:c>
      <x:c r="X86" s="8" t="str"/>
      <x:c r="Y86" s="8" t="str"/>
      <x:c r="Z86" s="8" t="str"/>
      <x:c r="AA86" s="12" t="str"/>
    </x:row>
    <x:row r="87" ht="72" customHeight="1">
      <x:c r="A87" s="9" t="str">
        <x:v>family-verse-02</x:v>
      </x:c>
      <x:c r="B87" s="11" t="n">
        <x:v>1</x:v>
      </x:c>
      <x:c r="C87" s="9" t="str">
        <x:v>当前推荐</x:v>
      </x:c>
      <x:c r="D87" s="9" t="str">
        <x:v>家人长辈</x:v>
      </x:c>
      <x:c r="E87" s="9" t="str">
        <x:v>全桌</x:v>
      </x:c>
      <x:c r="F87" s="9" t="str">
        <x:v>家常里的桑麻</x:v>
      </x:c>
      <x:c r="G87" s="9" t="str">
        <x:v>古人“把酒话桑麻”，我们围坐话家常；愿一桌有暖，家人安康。
借这一杯，敬大家。</x:v>
      </x:c>
      <x:c r="H87" s="9" t="str">
        <x:v>古人“把酒话桑麻”，说的是田间日常。今天围坐一起，也把心意放进家常里：问一声近况，说几句牵挂。愿家人各自忙得顺意，聚在一起说得舒心；平常的日子，也常有温暖。
借这一杯，敬大家。</x:v>
      </x:c>
      <x:c r="I87" s="9" t="str">
        <x:v>To everyday conversations, thoughtful care, and warmth at our family table.</x:v>
      </x:c>
      <x:c r="J87" s="9" t="str">
        <x:v>敬家常交谈、彼此牵挂，也祝一家温暖。</x:v>
      </x:c>
      <x:c r="K87" s="9" t="str">
        <x:v>reunion</x:v>
      </x:c>
      <x:c r="L87" s="9" t="str">
        <x:v>相聚与再会</x:v>
      </x:c>
      <x:c r="M87" s="9" t="str">
        <x:v>把酒话桑麻</x:v>
      </x:c>
      <x:c r="N87" s="9" t="str">
        <x:v>这是从原作农事闲谈转到家常的编辑用法，不称原诗写家宴。</x:v>
      </x:c>
      <x:c r="O87" s="9" t="str">
        <x:v>未限定</x:v>
      </x:c>
      <x:c r="P87" s="9" t="str">
        <x:v>未限定</x:v>
      </x:c>
      <x:c r="Q87" s="9" t="str">
        <x:v>未限定</x:v>
      </x:c>
      <x:c r="R87" s="9" t="str">
        <x:v>引句后整理</x:v>
      </x:c>
      <x:c r="S87" s="9" t="str">
        <x:v>雅致</x:v>
      </x:c>
      <x:c r="T87" s="9" t="str"/>
      <x:c r="U87" s="9" t="str"/>
      <x:c r="V87" s="9" t="str">
        <x:v>古人“把酒话桑麻”，我们围坐话家常；愿一桌有暖，家人安康。</x:v>
      </x:c>
      <x:c r="W87" s="9" t="str">
        <x:v>古人“把酒话桑麻”，说的是田间日常。今天围坐一起，也把心意放进家常里：问一声近况，说几句牵挂。愿家人各自忙得顺意，聚在一起说得舒心；平常的日子，也常有温暖。</x:v>
      </x:c>
      <x:c r="X87" s="9" t="str"/>
      <x:c r="Y87" s="9" t="str"/>
      <x:c r="Z87" s="9" t="str"/>
      <x:c r="AA87" s="12" t="str"/>
    </x:row>
    <x:row r="88" ht="57" customHeight="1">
      <x:c r="A88" s="8" t="str">
        <x:v>r04-ci-06-2</x:v>
      </x:c>
      <x:c r="B88" s="10" t="n">
        <x:v>1</x:v>
      </x:c>
      <x:c r="C88" s="8" t="str">
        <x:v>当前推荐</x:v>
      </x:c>
      <x:c r="D88" s="8" t="str">
        <x:v>家人长辈</x:v>
      </x:c>
      <x:c r="E88" s="8" t="str">
        <x:v>全桌</x:v>
      </x:c>
      <x:c r="F88" s="8" t="str">
        <x:v>路远也有人念 · 再说一句</x:v>
      </x:c>
      <x:c r="G88" s="8" t="str">
        <x:v>人走得再远，也想有个能坐下吃饭的地方。这杯敬家人，愿彼此忙得有奔头，回家有热饭和好话。借诗词中的一句：“轻云微月”</x:v>
      </x:c>
      <x:c r="H88" s="8" t="str">
        <x:v>人走得再远，也想有个能坐下吃饭的地方。这杯敬家人，愿彼此忙得有奔头，回家有热饭和好话。
苏轼写过：“轻云微月”这杯敬家人，愿彼此多照应，日常常舒心。</x:v>
      </x:c>
      <x:c r="I88" s="8" t="str">
        <x:v>To a warm place to return to, wherever life takes us. Here is to another good day together.</x:v>
      </x:c>
      <x:c r="J88" s="8" t="str">
        <x:v>不论走到哪里，愿都有温暖的归处。也盼再有同聚的好日子。</x:v>
      </x:c>
      <x:c r="K88" s="8" t="str">
        <x:v>r04-ci-06</x:v>
      </x:c>
      <x:c r="L88" s="8" t="str">
        <x:v>苏轼《醉落魄·离京口作》</x:v>
      </x:c>
      <x:c r="M88" s="8" t="str">
        <x:v>轻云微月</x:v>
      </x:c>
      <x:c r="N88" s="8" t="str">
        <x:v>行旅夜归与思家，不把漂泊愁绪改说成原词庆功。</x:v>
      </x:c>
      <x:c r="O88" s="8" t="str">
        <x:v>团圆相聚、月色入杯、夜晚小酌</x:v>
      </x:c>
      <x:c r="P88" s="8" t="str">
        <x:v>未限定</x:v>
      </x:c>
      <x:c r="Q88" s="8" t="str">
        <x:v>未限定</x:v>
      </x:c>
      <x:c r="R88" s="8" t="str">
        <x:v>引句后整理</x:v>
      </x:c>
      <x:c r="S88" s="8" t="str">
        <x:v>雅致</x:v>
      </x:c>
      <x:c r="T88" s="8" t="str">
        <x:v>我以茶代酒，心意一样真。</x:v>
      </x:c>
      <x:c r="U88" s="8" t="str">
        <x:v>With tea in my cup and the same warm wishes.</x:v>
      </x:c>
      <x:c r="V88" s="8" t="str">
        <x:v>人走得再远，也想有个能坐下吃饭的地方。这杯敬家人，愿彼此忙得有奔头，回家有热饭和好话。借诗词中的一句：“轻云微月”</x:v>
      </x:c>
      <x:c r="W88" s="8" t="str">
        <x:v>人走得再远，也想有个能坐下吃饭的地方。这杯敬家人，愿彼此忙得有奔头，回家有热饭和好话。
苏轼写过：“轻云微月”这杯敬家人，愿彼此多照应，日常常舒心。</x:v>
      </x:c>
      <x:c r="X88" s="8" t="str">
        <x:v>spoken</x:v>
      </x:c>
      <x:c r="Y88" s="8" t="str">
        <x:v>verse-1</x:v>
      </x:c>
      <x:c r="Z88" s="8" t="str"/>
      <x:c r="AA88" s="12" t="str"/>
    </x:row>
    <x:row r="89" ht="57" customHeight="1">
      <x:c r="A89" s="9" t="str">
        <x:v>r04-ci-08-2</x:v>
      </x:c>
      <x:c r="B89" s="11" t="n">
        <x:v>1</x:v>
      </x:c>
      <x:c r="C89" s="9" t="str">
        <x:v>当前推荐</x:v>
      </x:c>
      <x:c r="D89" s="9" t="str">
        <x:v>家人长辈</x:v>
      </x:c>
      <x:c r="E89" s="9" t="str">
        <x:v>全桌</x:v>
      </x:c>
      <x:c r="F89" s="9" t="str">
        <x:v>把人放进好光景 · 再说一句</x:v>
      </x:c>
      <x:c r="G89" s="9" t="str">
        <x:v>灯火再热闹，也比不上家人坐齐。敬咱们，愿大节小节都有照应，平常日子也有团聚。借诗词中的一句：“明月如霜，照见人如画。”</x:v>
      </x:c>
      <x:c r="H89" s="9" t="str">
        <x:v>灯火再热闹，也比不上家人坐齐。敬咱们，愿大节小节都有照应，平常日子也有团聚。
借苏轼的一句：“明月如霜，照见人如画。”这杯敬家人，愿彼此多照应，日常常舒心。</x:v>
      </x:c>
      <x:c r="I89" s="9" t="str">
        <x:v>To the people whose laughter will be our best memory of tonight. Here is to another good day together.</x:v>
      </x:c>
      <x:c r="J89" s="9" t="str">
        <x:v>敬让今晚因笑声而难忘的人。也盼再有同聚的好日子。</x:v>
      </x:c>
      <x:c r="K89" s="9" t="str">
        <x:v>r04-ci-08</x:v>
      </x:c>
      <x:c r="L89" s="9" t="str">
        <x:v>苏轼《蝶恋花·密州上元》</x:v>
      </x:c>
      <x:c r="M89" s="9" t="str">
        <x:v>明月如霜，照见人如画。</x:v>
      </x:c>
      <x:c r="N89" s="9" t="str">
        <x:v>比较钱塘与密州元宵，明丽中有寂寞；借相聚，不称现场月如霜。</x:v>
      </x:c>
      <x:c r="O89" s="9" t="str">
        <x:v>团圆相聚、月色入杯、夜晚小酌</x:v>
      </x:c>
      <x:c r="P89" s="9" t="str">
        <x:v>未限定</x:v>
      </x:c>
      <x:c r="Q89" s="9" t="str">
        <x:v>未限定</x:v>
      </x:c>
      <x:c r="R89" s="9" t="str">
        <x:v>引句后整理</x:v>
      </x:c>
      <x:c r="S89" s="9" t="str">
        <x:v>雅致</x:v>
      </x:c>
      <x:c r="T89" s="9" t="str">
        <x:v>我以茶代酒，心意一样真。</x:v>
      </x:c>
      <x:c r="U89" s="9" t="str">
        <x:v>With tea in my cup and the same warm wishes.</x:v>
      </x:c>
      <x:c r="V89" s="9" t="str">
        <x:v>灯火再热闹，也比不上家人坐齐。敬咱们，愿大节小节都有照应，平常日子也有团聚。借诗词中的一句：“明月如霜，照见人如画。”</x:v>
      </x:c>
      <x:c r="W89" s="9" t="str">
        <x:v>灯火再热闹，也比不上家人坐齐。敬咱们，愿大节小节都有照应，平常日子也有团聚。
借苏轼的一句：“明月如霜，照见人如画。”这杯敬家人，愿彼此多照应，日常常舒心。</x:v>
      </x:c>
      <x:c r="X89" s="9" t="str">
        <x:v>spoken</x:v>
      </x:c>
      <x:c r="Y89" s="9" t="str">
        <x:v>verse-3</x:v>
      </x:c>
      <x:c r="Z89" s="9" t="str"/>
      <x:c r="AA89" s="12" t="str"/>
    </x:row>
    <x:row r="90" ht="72" customHeight="1">
      <x:c r="A90" s="8" t="str">
        <x:v>r04-ci-14-2</x:v>
      </x:c>
      <x:c r="B90" s="10" t="n">
        <x:v>1</x:v>
      </x:c>
      <x:c r="C90" s="8" t="str">
        <x:v>当前推荐</x:v>
      </x:c>
      <x:c r="D90" s="8" t="str">
        <x:v>家人长辈</x:v>
      </x:c>
      <x:c r="E90" s="8" t="str">
        <x:v>全桌</x:v>
      </x:c>
      <x:c r="F90" s="8" t="str">
        <x:v>把相逢看重一点 · 再说一句</x:v>
      </x:c>
      <x:c r="G90" s="8" t="str">
        <x:v>古人珍重相逢，我也珍重一家人能坐在一起。愿各自忙碌之外，常有这样的饭，常有这样的笑。借诗词中的一句：“金风玉露一相逢，便胜却人间无数。”</x:v>
      </x:c>
      <x:c r="H90" s="8" t="str">
        <x:v>古人珍重相逢，我也珍重一家人能坐在一起。愿各自忙碌之外，常有这样的饭，常有这样的笑。
借秦观的一句：“金风玉露一相逢，便胜却人间无数。”这杯敬家人，愿彼此多照应，日常常舒心。</x:v>
      </x:c>
      <x:c r="I90" s="8" t="str">
        <x:v>To making time for a meeting that matters. Here is to another good day together.</x:v>
      </x:c>
      <x:c r="J90" s="8" t="str">
        <x:v>愿为值得相见的人留出时间。也盼再有同聚的好日子。</x:v>
      </x:c>
      <x:c r="K90" s="8" t="str">
        <x:v>r04-ci-14</x:v>
      </x:c>
      <x:c r="L90" s="8" t="str">
        <x:v>秦观《鹊桥仙·纤云弄巧》</x:v>
      </x:c>
      <x:c r="M90" s="8" t="str">
        <x:v>金风玉露一相逢，便胜却人间无数。</x:v>
      </x:c>
      <x:c r="N90" s="8" t="str">
        <x:v>七夕牛女相会的爱情词；初识不许诺久长，不把传说当史实。</x:v>
      </x:c>
      <x:c r="O90" s="8" t="str">
        <x:v>团圆相聚</x:v>
      </x:c>
      <x:c r="P90" s="8" t="str">
        <x:v>未限定</x:v>
      </x:c>
      <x:c r="Q90" s="8" t="str">
        <x:v>未限定</x:v>
      </x:c>
      <x:c r="R90" s="8" t="str">
        <x:v>引句后整理</x:v>
      </x:c>
      <x:c r="S90" s="8" t="str">
        <x:v>雅致</x:v>
      </x:c>
      <x:c r="T90" s="8" t="str">
        <x:v>我以茶代酒，心意一样真。</x:v>
      </x:c>
      <x:c r="U90" s="8" t="str">
        <x:v>With tea in my cup and the same warm wishes.</x:v>
      </x:c>
      <x:c r="V90" s="8" t="str">
        <x:v>古人珍重相逢，我也珍重一家人能坐在一起。愿各自忙碌之外，常有这样的饭，常有这样的笑。借诗词中的一句：“金风玉露一相逢，便胜却人间无数。”</x:v>
      </x:c>
      <x:c r="W90" s="8" t="str">
        <x:v>古人珍重相逢，我也珍重一家人能坐在一起。愿各自忙碌之外，常有这样的饭，常有这样的笑。
借秦观的一句：“金风玉露一相逢，便胜却人间无数。”这杯敬家人，愿彼此多照应，日常常舒心。</x:v>
      </x:c>
      <x:c r="X90" s="8" t="str">
        <x:v>spoken</x:v>
      </x:c>
      <x:c r="Y90" s="8" t="str">
        <x:v>verse-1</x:v>
      </x:c>
      <x:c r="Z90" s="8" t="str"/>
      <x:c r="AA90" s="12" t="str"/>
    </x:row>
    <x:row r="91" ht="57" customHeight="1">
      <x:c r="A91" s="9" t="str">
        <x:v>r04-ci-17-1</x:v>
      </x:c>
      <x:c r="B91" s="11" t="n">
        <x:v>1</x:v>
      </x:c>
      <x:c r="C91" s="9" t="str">
        <x:v>当前推荐</x:v>
      </x:c>
      <x:c r="D91" s="9" t="str">
        <x:v>家人长辈</x:v>
      </x:c>
      <x:c r="E91" s="9" t="str">
        <x:v>全桌</x:v>
      </x:c>
      <x:c r="F91" s="9" t="str">
        <x:v>家常就很好</x:v>
      </x:c>
      <x:c r="G91" s="9" t="str">
        <x:v>借辛弃疾的一句：“醉里吴音相媚好，白发谁家翁媪。”辛弃疾把一家人的日常写得这样好看。今天这杯敬家人，愿咱们也有说有笑，有忙有闲，把平常过得有滋有味。</x:v>
      </x:c>
      <x:c r="H91" s="9" t="str">
        <x:v>借辛弃疾的一句：“醉里吴音相媚好，白发谁家翁媪。”辛弃疾把一家人的日常写得这样好看。今天这杯敬家人，愿咱们也有说有笑，有忙有闲，把平常过得有滋有味。
这杯敬家人，愿彼此多照应，日常常舒心。</x:v>
      </x:c>
      <x:c r="I91" s="9" t="str">
        <x:v>To the warmth of an ordinary family day.</x:v>
      </x:c>
      <x:c r="J91" s="9" t="str">
        <x:v>敬一家人平常日子里的温暖。</x:v>
      </x:c>
      <x:c r="K91" s="9" t="str">
        <x:v>r04-ci-17</x:v>
      </x:c>
      <x:c r="L91" s="9" t="str">
        <x:v>辛弃疾《清平乐·村居》</x:v>
      </x:c>
      <x:c r="M91" s="9" t="str">
        <x:v>醉里吴音相媚好，白发谁家翁媪。</x:v>
      </x:c>
      <x:c r="N91" s="9" t="str">
        <x:v>描绘乡村家庭，翁媪指老人，无赖作顽皮解；不默认用户子女人数。</x:v>
      </x:c>
      <x:c r="O91" s="9" t="str">
        <x:v>团圆相聚</x:v>
      </x:c>
      <x:c r="P91" s="9" t="str">
        <x:v>未限定</x:v>
      </x:c>
      <x:c r="Q91" s="9" t="str">
        <x:v>未限定</x:v>
      </x:c>
      <x:c r="R91" s="9" t="str">
        <x:v>引句后整理</x:v>
      </x:c>
      <x:c r="S91" s="9" t="str">
        <x:v>雅致</x:v>
      </x:c>
      <x:c r="T91" s="9" t="str">
        <x:v>我以茶代酒，心意一样真。</x:v>
      </x:c>
      <x:c r="U91" s="9" t="str">
        <x:v>With tea in my cup and the same warm wishes.</x:v>
      </x:c>
      <x:c r="V91" s="9" t="str">
        <x:v>借辛弃疾的一句：“醉里吴音相媚好，白发谁家翁媪。”辛弃疾把一家人的日常写得这样好看。今天这杯敬家人，愿咱们也有说有笑，有忙有闲，把平常过得有滋有味。</x:v>
      </x:c>
      <x:c r="W91" s="9" t="str">
        <x:v>借辛弃疾的一句：“醉里吴音相媚好，白发谁家翁媪。”辛弃疾把一家人的日常写得这样好看。今天这杯敬家人，愿咱们也有说有笑，有忙有闲，把平常过得有滋有味。
这杯敬家人，愿彼此多照应，日常常舒心。</x:v>
      </x:c>
      <x:c r="X91" s="9" t="str">
        <x:v>spoken</x:v>
      </x:c>
      <x:c r="Y91" s="9" t="str">
        <x:v>verse-0</x:v>
      </x:c>
      <x:c r="Z91" s="9" t="str"/>
      <x:c r="AA91" s="12" t="str"/>
    </x:row>
    <x:row r="92" ht="57" customHeight="1">
      <x:c r="A92" s="8" t="str">
        <x:v>r04-ci-23-1</x:v>
      </x:c>
      <x:c r="B92" s="10" t="n">
        <x:v>1</x:v>
      </x:c>
      <x:c r="C92" s="8" t="str">
        <x:v>当前推荐</x:v>
      </x:c>
      <x:c r="D92" s="8" t="str">
        <x:v>家人长辈</x:v>
      </x:c>
      <x:c r="E92" s="8" t="str">
        <x:v>全桌</x:v>
      </x:c>
      <x:c r="F92" s="8" t="str">
        <x:v>愿望里有再见</x:v>
      </x:c>
      <x:c r="G92" s="8" t="str">
        <x:v>借冯延巳的一句：“三愿如同梁上燕，岁岁长相见。”原词是给伴侣的三愿，我只借最后这份常见面的心意。敬家人，愿大家平安，饭常能同桌，话常能说到一处。</x:v>
      </x:c>
      <x:c r="H92" s="8" t="str">
        <x:v>借冯延巳的一句：“三愿如同梁上燕，岁岁长相见。”原词是给伴侣的三愿，我只借最后这份常见面的心意。敬家人，愿大家平安，饭常能同桌，话常能说到一处。
这杯敬家人，愿彼此多照应，日常常舒心。</x:v>
      </x:c>
      <x:c r="I92" s="8" t="str">
        <x:v>To staying well and making time to see one another again.</x:v>
      </x:c>
      <x:c r="J92" s="8" t="str">
        <x:v>愿彼此安好，也常有相见的时间。</x:v>
      </x:c>
      <x:c r="K92" s="8" t="str">
        <x:v>r04-ci-23</x:v>
      </x:c>
      <x:c r="L92" s="8" t="str">
        <x:v>冯延巳《长命女·春日宴》</x:v>
      </x:c>
      <x:c r="M92" s="8" t="str">
        <x:v>三愿如同梁上燕，岁岁长相见。</x:v>
      </x:c>
      <x:c r="N92" s="8" t="str">
        <x:v>女子向伴侣陈愿；借常相见的祝愿，不把原作称为普通朋友贺词。</x:v>
      </x:c>
      <x:c r="O92" s="8" t="str">
        <x:v>团圆相聚</x:v>
      </x:c>
      <x:c r="P92" s="8" t="str">
        <x:v>未限定</x:v>
      </x:c>
      <x:c r="Q92" s="8" t="str">
        <x:v>未限定</x:v>
      </x:c>
      <x:c r="R92" s="8" t="str">
        <x:v>引句后整理</x:v>
      </x:c>
      <x:c r="S92" s="8" t="str">
        <x:v>雅致</x:v>
      </x:c>
      <x:c r="T92" s="8" t="str">
        <x:v>我以茶代酒，心意一样真。</x:v>
      </x:c>
      <x:c r="U92" s="8" t="str">
        <x:v>With tea in my cup and the same warm wishes.</x:v>
      </x:c>
      <x:c r="V92" s="8" t="str">
        <x:v>借冯延巳的一句：“三愿如同梁上燕，岁岁长相见。”原词是给伴侣的三愿，我只借最后这份常见面的心意。敬家人，愿大家平安，饭常能同桌，话常能说到一处。</x:v>
      </x:c>
      <x:c r="W92" s="8" t="str">
        <x:v>借冯延巳的一句：“三愿如同梁上燕，岁岁长相见。”原词是给伴侣的三愿，我只借最后这份常见面的心意。敬家人，愿大家平安，饭常能同桌，话常能说到一处。
这杯敬家人，愿彼此多照应，日常常舒心。</x:v>
      </x:c>
      <x:c r="X92" s="8" t="str">
        <x:v>spoken</x:v>
      </x:c>
      <x:c r="Y92" s="8" t="str">
        <x:v>verse-2</x:v>
      </x:c>
      <x:c r="Z92" s="8" t="str"/>
      <x:c r="AA92" s="12" t="str"/>
    </x:row>
    <x:row r="93" ht="57" customHeight="1">
      <x:c r="A93" s="9" t="str">
        <x:v>r04-ci-27-2</x:v>
      </x:c>
      <x:c r="B93" s="11" t="n">
        <x:v>1</x:v>
      </x:c>
      <x:c r="C93" s="9" t="str">
        <x:v>当前推荐</x:v>
      </x:c>
      <x:c r="D93" s="9" t="str">
        <x:v>家人长辈</x:v>
      </x:c>
      <x:c r="E93" s="9" t="str">
        <x:v>全桌</x:v>
      </x:c>
      <x:c r="F93" s="9" t="str">
        <x:v>几般蔬果也团圆 · 再说一句</x:v>
      </x:c>
      <x:c r="G93" s="9" t="str">
        <x:v>团圆不一定要大张旗鼓。大家坐齐，热饭端上，心就暖了。这杯敬咱们，愿日常有照应，得闲常同桌。借诗词中的一句：“一笑且开怀，小阁团栾”</x:v>
      </x:c>
      <x:c r="H93" s="9" t="str">
        <x:v>团圆不一定要大张旗鼓。大家坐齐，热饭端上，心就暖了。这杯敬咱们，愿日常有照应，得闲常同桌。
戴复古写过：“一笑且开怀，小阁团栾”这杯敬家人，愿彼此多照应，日常常舒心。</x:v>
      </x:c>
      <x:c r="I93" s="9" t="str">
        <x:v>To a simple table, a few good things, and people glad to be together. Here is to another good day together.</x:v>
      </x:c>
      <x:c r="J93" s="9" t="str">
        <x:v>家常一桌，几样好食，有人乐意相聚。也盼再有同聚的好日子。</x:v>
      </x:c>
      <x:c r="K93" s="9" t="str">
        <x:v>r04-ci-27</x:v>
      </x:c>
      <x:c r="L93" s="9" t="str">
        <x:v>戴复古《洞仙歌·卖花担上》</x:v>
      </x:c>
      <x:c r="M93" s="9" t="str">
        <x:v>一笑且开怀，小阁团栾</x:v>
      </x:c>
      <x:c r="N93" s="9" t="str">
        <x:v>羁旅重阳而自遣，团栾即团聚；不宣称现场重阳或必有家乡人。</x:v>
      </x:c>
      <x:c r="O93" s="9" t="str">
        <x:v>团圆相聚</x:v>
      </x:c>
      <x:c r="P93" s="9" t="str">
        <x:v>未限定</x:v>
      </x:c>
      <x:c r="Q93" s="9" t="str">
        <x:v>未限定</x:v>
      </x:c>
      <x:c r="R93" s="9" t="str">
        <x:v>引句后整理</x:v>
      </x:c>
      <x:c r="S93" s="9" t="str">
        <x:v>雅致</x:v>
      </x:c>
      <x:c r="T93" s="9" t="str">
        <x:v>我以茶代酒，心意一样真。</x:v>
      </x:c>
      <x:c r="U93" s="9" t="str">
        <x:v>With tea in my cup and the same warm wishes.</x:v>
      </x:c>
      <x:c r="V93" s="9" t="str">
        <x:v>团圆不一定要大张旗鼓。大家坐齐，热饭端上，心就暖了。这杯敬咱们，愿日常有照应，得闲常同桌。借诗词中的一句：“一笑且开怀，小阁团栾”</x:v>
      </x:c>
      <x:c r="W93" s="9" t="str">
        <x:v>团圆不一定要大张旗鼓。大家坐齐，热饭端上，心就暖了。这杯敬咱们，愿日常有照应，得闲常同桌。
戴复古写过：“一笑且开怀，小阁团栾”这杯敬家人，愿彼此多照应，日常常舒心。</x:v>
      </x:c>
      <x:c r="X93" s="9" t="str">
        <x:v>spoken</x:v>
      </x:c>
      <x:c r="Y93" s="9" t="str">
        <x:v>verse-2</x:v>
      </x:c>
      <x:c r="Z93" s="9" t="str"/>
      <x:c r="AA93" s="12" t="str"/>
    </x:row>
    <x:row r="94" ht="57" customHeight="1">
      <x:c r="A94" s="8" t="str">
        <x:v>r04-shi-1185-1</x:v>
      </x:c>
      <x:c r="B94" s="10" t="n">
        <x:v>1</x:v>
      </x:c>
      <x:c r="C94" s="8" t="str">
        <x:v>当前推荐</x:v>
      </x:c>
      <x:c r="D94" s="8" t="str">
        <x:v>家人长辈</x:v>
      </x:c>
      <x:c r="E94" s="8" t="str">
        <x:v>全桌</x:v>
      </x:c>
      <x:c r="F94" s="8" t="str">
        <x:v>一家人多照应</x:v>
      </x:c>
      <x:c r="G94" s="8" t="str">
        <x:v>《诗经·行苇》写道：“戚戚兄弟，莫远具尔。”诗里的“莫远”，是别疏远。咱们一家人，住得远近不打紧，有事多问一句，得闲多聚一回。</x:v>
      </x:c>
      <x:c r="H94" s="8" t="str">
        <x:v>《诗经·行苇》写道：“戚戚兄弟，莫远具尔。”诗里的“莫远”，是别疏远。咱们一家人，住得远近不打紧，有事多问一句，得闲多聚一回。
这杯敬家人，愿彼此多照应，日常常舒心。</x:v>
      </x:c>
      <x:c r="I94" s="8" t="str">
        <x:v>To a family that asks one more question and offers one more helping hand.</x:v>
      </x:c>
      <x:c r="J94" s="8" t="str">
        <x:v>愿家人多问候一句，多帮衬一点。</x:v>
      </x:c>
      <x:c r="K94" s="8" t="str">
        <x:v>r04-shi-1185</x:v>
      </x:c>
      <x:c r="L94" s="8" t="str">
        <x:v>《诗经·行苇》</x:v>
      </x:c>
      <x:c r="M94" s="8" t="str">
        <x:v>戚戚兄弟，莫远具尔。</x:v>
      </x:c>
      <x:c r="N94" s="8" t="str">
        <x:v>亲族宴会、敬老、较射与祈福；取亲近照应，不照搬祭礼和座次。</x:v>
      </x:c>
      <x:c r="O94" s="8" t="str">
        <x:v>团圆相聚</x:v>
      </x:c>
      <x:c r="P94" s="8" t="str">
        <x:v>未限定</x:v>
      </x:c>
      <x:c r="Q94" s="8" t="str">
        <x:v>未限定</x:v>
      </x:c>
      <x:c r="R94" s="8" t="str">
        <x:v>引句后整理</x:v>
      </x:c>
      <x:c r="S94" s="8" t="str">
        <x:v>雅致</x:v>
      </x:c>
      <x:c r="T94" s="8" t="str">
        <x:v>我以茶代酒，心意一样真。</x:v>
      </x:c>
      <x:c r="U94" s="8" t="str">
        <x:v>With tea in my cup and the same warm wishes.</x:v>
      </x:c>
      <x:c r="V94" s="8" t="str">
        <x:v>《诗经·行苇》写道：“戚戚兄弟，莫远具尔。”诗里的“莫远”，是别疏远。咱们一家人，住得远近不打紧，有事多问一句，得闲多聚一回。</x:v>
      </x:c>
      <x:c r="W94" s="8" t="str">
        <x:v>《诗经·行苇》写道：“戚戚兄弟，莫远具尔。”诗里的“莫远”，是别疏远。咱们一家人，住得远近不打紧，有事多问一句，得闲多聚一回。
这杯敬家人，愿彼此多照应，日常常舒心。</x:v>
      </x:c>
      <x:c r="X94" s="8" t="str">
        <x:v>spoken</x:v>
      </x:c>
      <x:c r="Y94" s="8" t="str">
        <x:v>verse-1</x:v>
      </x:c>
      <x:c r="Z94" s="8" t="str"/>
      <x:c r="AA94" s="12" t="str"/>
    </x:row>
    <x:row r="95" ht="57" customHeight="1">
      <x:c r="A95" s="9" t="str">
        <x:v>r04-shi-311-1</x:v>
      </x:c>
      <x:c r="B95" s="11" t="n">
        <x:v>1</x:v>
      </x:c>
      <x:c r="C95" s="9" t="str">
        <x:v>当前推荐</x:v>
      </x:c>
      <x:c r="D95" s="9" t="str">
        <x:v>家人长辈</x:v>
      </x:c>
      <x:c r="E95" s="9" t="str">
        <x:v>全桌</x:v>
      </x:c>
      <x:c r="F95" s="9" t="str">
        <x:v>记住一份照顾</x:v>
      </x:c>
      <x:c r="G95" s="9" t="str">
        <x:v>借《诗经》的一句：“适子之馆兮”好意有时落在一件衣、一顿饭里，不声张，却让人记很久。今天这杯，敬一家人平常的照应。</x:v>
      </x:c>
      <x:c r="H95" s="9" t="str">
        <x:v>借《诗经》的一句：“适子之馆兮”好意有时落在一件衣、一顿饭里，不声张，却让人记很久。今天这杯，敬一家人平常的照应。
这杯敬家人，愿彼此多照应，日常常舒心。</x:v>
      </x:c>
      <x:c r="I95" s="9" t="str">
        <x:v>To the small kindnesses that make ordinary days feel warmer.</x:v>
      </x:c>
      <x:c r="J95" s="9" t="str">
        <x:v>敬让平常日子更温暖的小小好意。</x:v>
      </x:c>
      <x:c r="K95" s="9" t="str">
        <x:v>r04-shi-311</x:v>
      </x:c>
      <x:c r="L95" s="9" t="str">
        <x:v>《诗经·缁衣》</x:v>
      </x:c>
      <x:c r="M95" s="9" t="str">
        <x:v>适子之馆兮</x:v>
      </x:c>
      <x:c r="N95" s="9" t="str">
        <x:v>赠衣、照顾生活的诗，亦有美德说；不预设对方为用户缝过衣。</x:v>
      </x:c>
      <x:c r="O95" s="9" t="str">
        <x:v>团圆相聚</x:v>
      </x:c>
      <x:c r="P95" s="9" t="str">
        <x:v>未限定</x:v>
      </x:c>
      <x:c r="Q95" s="9" t="str">
        <x:v>未限定</x:v>
      </x:c>
      <x:c r="R95" s="9" t="str">
        <x:v>引句后整理</x:v>
      </x:c>
      <x:c r="S95" s="9" t="str">
        <x:v>雅致</x:v>
      </x:c>
      <x:c r="T95" s="9" t="str">
        <x:v>我以茶代酒，心意一样真。</x:v>
      </x:c>
      <x:c r="U95" s="9" t="str">
        <x:v>With tea in my cup and the same warm wishes.</x:v>
      </x:c>
      <x:c r="V95" s="9" t="str">
        <x:v>借《诗经》的一句：“适子之馆兮”好意有时落在一件衣、一顿饭里，不声张，却让人记很久。今天这杯，敬一家人平常的照应。</x:v>
      </x:c>
      <x:c r="W95" s="9" t="str">
        <x:v>借《诗经》的一句：“适子之馆兮”好意有时落在一件衣、一顿饭里，不声张，却让人记很久。今天这杯，敬一家人平常的照应。
这杯敬家人，愿彼此多照应，日常常舒心。</x:v>
      </x:c>
      <x:c r="X95" s="9" t="str">
        <x:v>spoken</x:v>
      </x:c>
      <x:c r="Y95" s="9" t="str">
        <x:v>verse-2</x:v>
      </x:c>
      <x:c r="Z95" s="9" t="str"/>
      <x:c r="AA95" s="12" t="str"/>
    </x:row>
    <x:row r="96" ht="57" customHeight="1">
      <x:c r="A96" s="8" t="str">
        <x:v>r04-shi-335-1</x:v>
      </x:c>
      <x:c r="B96" s="10" t="n">
        <x:v>1</x:v>
      </x:c>
      <x:c r="C96" s="8" t="str">
        <x:v>当前推荐</x:v>
      </x:c>
      <x:c r="D96" s="8" t="str">
        <x:v>家人长辈</x:v>
      </x:c>
      <x:c r="E96" s="8" t="str">
        <x:v>全桌</x:v>
      </x:c>
      <x:c r="F96" s="8" t="str">
        <x:v>家常也静好</x:v>
      </x:c>
      <x:c r="G96" s="8" t="str">
        <x:v>《诗经》里有一句：“琴瑟在御，莫不静好。”日子里的好，常常很小：吃顿热饭，说句家常，彼此听得进去。这杯敬咱们，把平常过得有滋味。</x:v>
      </x:c>
      <x:c r="H96" s="8" t="str">
        <x:v>《诗经》里有一句：“琴瑟在御，莫不静好。”日子里的好，常常很小：吃顿热饭，说句家常，彼此听得进去。这杯敬咱们，把平常过得有滋味。
这杯敬家人，愿彼此多照应，日常常舒心。</x:v>
      </x:c>
      <x:c r="I96" s="8" t="str">
        <x:v>To a home where there is time to listen and room to rest.</x:v>
      </x:c>
      <x:c r="J96" s="8" t="str">
        <x:v>愿家里有人倾听，也能安心歇息。</x:v>
      </x:c>
      <x:c r="K96" s="8" t="str">
        <x:v>r04-shi-335</x:v>
      </x:c>
      <x:c r="L96" s="8" t="str">
        <x:v>《诗经·女曰鸡鸣》</x:v>
      </x:c>
      <x:c r="M96" s="8" t="str">
        <x:v>琴瑟在御，莫不静好。</x:v>
      </x:c>
      <x:c r="N96" s="8" t="str">
        <x:v>夫妻对话与日常相伴；只用于家人、长期相处，不给相亲初见强加白头承诺。</x:v>
      </x:c>
      <x:c r="O96" s="8" t="str">
        <x:v>团圆相聚</x:v>
      </x:c>
      <x:c r="P96" s="8" t="str">
        <x:v>未限定</x:v>
      </x:c>
      <x:c r="Q96" s="8" t="str">
        <x:v>未限定</x:v>
      </x:c>
      <x:c r="R96" s="8" t="str">
        <x:v>引句后整理</x:v>
      </x:c>
      <x:c r="S96" s="8" t="str">
        <x:v>雅致</x:v>
      </x:c>
      <x:c r="T96" s="8" t="str">
        <x:v>我以茶代酒，心意一样真。</x:v>
      </x:c>
      <x:c r="U96" s="8" t="str">
        <x:v>With tea in my cup and the same warm wishes.</x:v>
      </x:c>
      <x:c r="V96" s="8" t="str">
        <x:v>《诗经》里有一句：“琴瑟在御，莫不静好。”日子里的好，常常很小：吃顿热饭，说句家常，彼此听得进去。这杯敬咱们，把平常过得有滋味。</x:v>
      </x:c>
      <x:c r="W96" s="8" t="str">
        <x:v>《诗经》里有一句：“琴瑟在御，莫不静好。”日子里的好，常常很小：吃顿热饭，说句家常，彼此听得进去。这杯敬咱们，把平常过得有滋味。
这杯敬家人，愿彼此多照应，日常常舒心。</x:v>
      </x:c>
      <x:c r="X96" s="8" t="str">
        <x:v>spoken</x:v>
      </x:c>
      <x:c r="Y96" s="8" t="str">
        <x:v>verse-3</x:v>
      </x:c>
      <x:c r="Z96" s="8" t="str"/>
      <x:c r="AA96" s="12" t="str"/>
    </x:row>
    <x:row r="97" ht="57" customHeight="1">
      <x:c r="A97" s="9" t="str">
        <x:v>r04-shi-642-1</x:v>
      </x:c>
      <x:c r="B97" s="11" t="n">
        <x:v>1</x:v>
      </x:c>
      <x:c r="C97" s="9" t="str">
        <x:v>当前推荐</x:v>
      </x:c>
      <x:c r="D97" s="9" t="str">
        <x:v>家人长辈</x:v>
      </x:c>
      <x:c r="E97" s="9" t="str">
        <x:v>全桌</x:v>
      </x:c>
      <x:c r="F97" s="9" t="str">
        <x:v>人齐心就暖</x:v>
      </x:c>
      <x:c r="G97" s="9" t="str">
        <x:v>《诗经》里有一句：“兄弟既具，和乐且孺。”人到齐，比菜上齐还让人高兴。这杯敬咱们一家，愿平日互相搭把手，得闲多在一桌坐一坐。</x:v>
      </x:c>
      <x:c r="H97" s="9" t="str">
        <x:v>《诗经》里有一句：“兄弟既具，和乐且孺。”人到齐，比菜上齐还让人高兴。这杯敬咱们一家，愿平日互相搭把手，得闲多在一桌坐一坐。
这杯敬家人，愿彼此多照应，日常常舒心。</x:v>
      </x:c>
      <x:c r="I97" s="9" t="str">
        <x:v>To finding our way back to the same table, time after time.</x:v>
      </x:c>
      <x:c r="J97" s="9" t="str">
        <x:v>愿我们总能再坐到同一张饭桌旁。</x:v>
      </x:c>
      <x:c r="K97" s="9" t="str">
        <x:v>r04-shi-642</x:v>
      </x:c>
      <x:c r="L97" s="9" t="str">
        <x:v>《诗经·常棣》</x:v>
      </x:c>
      <x:c r="M97" s="9" t="str">
        <x:v>兄弟既具，和乐且孺。</x:v>
      </x:c>
      <x:c r="N97" s="9" t="str">
        <x:v>兄弟亲族宴饮的诗；珍惜团聚，不照搬原诗对朋友与兄弟的高下判断。</x:v>
      </x:c>
      <x:c r="O97" s="9" t="str">
        <x:v>团圆相聚</x:v>
      </x:c>
      <x:c r="P97" s="9" t="str">
        <x:v>未限定</x:v>
      </x:c>
      <x:c r="Q97" s="9" t="str">
        <x:v>未限定</x:v>
      </x:c>
      <x:c r="R97" s="9" t="str">
        <x:v>引句后整理</x:v>
      </x:c>
      <x:c r="S97" s="9" t="str">
        <x:v>雅致</x:v>
      </x:c>
      <x:c r="T97" s="9" t="str">
        <x:v>我以茶代酒，心意一样真。</x:v>
      </x:c>
      <x:c r="U97" s="9" t="str">
        <x:v>With tea in my cup and the same warm wishes.</x:v>
      </x:c>
      <x:c r="V97" s="9" t="str">
        <x:v>《诗经》里有一句：“兄弟既具，和乐且孺。”人到齐，比菜上齐还让人高兴。这杯敬咱们一家，愿平日互相搭把手，得闲多在一桌坐一坐。</x:v>
      </x:c>
      <x:c r="W97" s="9" t="str">
        <x:v>《诗经》里有一句：“兄弟既具，和乐且孺。”人到齐，比菜上齐还让人高兴。这杯敬咱们一家，愿平日互相搭把手，得闲多在一桌坐一坐。
这杯敬家人，愿彼此多照应，日常常舒心。</x:v>
      </x:c>
      <x:c r="X97" s="9" t="str">
        <x:v>spoken</x:v>
      </x:c>
      <x:c r="Y97" s="9" t="str">
        <x:v>verse-1</x:v>
      </x:c>
      <x:c r="Z97" s="9" t="str"/>
      <x:c r="AA97" s="12" t="str"/>
    </x:row>
    <x:row r="98" ht="57" customHeight="1">
      <x:c r="A98" s="8" t="str">
        <x:v>r04-story-03-1</x:v>
      </x:c>
      <x:c r="B98" s="10" t="n">
        <x:v>1</x:v>
      </x:c>
      <x:c r="C98" s="8" t="str">
        <x:v>当前推荐</x:v>
      </x:c>
      <x:c r="D98" s="8" t="str">
        <x:v>家人长辈</x:v>
      </x:c>
      <x:c r="E98" s="8" t="str">
        <x:v>全桌</x:v>
      </x:c>
      <x:c r="F98" s="8" t="str">
        <x:v>各有各的好</x:v>
      </x:c>
      <x:c r="G98" s="8" t="str">
        <x:v>《世说新语》里记载：“元方难为兄，季方难为弟。”这则旧事里的兄弟，是各有各的好。今天一家人同桌，咱们也少比较、多体谅，热饭一起吃，日子一起顾。</x:v>
      </x:c>
      <x:c r="H98" s="8" t="str">
        <x:v>《世说新语》里记载：“元方难为兄，季方难为弟。”这则旧事里的兄弟，是各有各的好。今天一家人同桌，咱们也少比较、多体谅，热饭一起吃，日子一起顾。
这杯敬家人，愿彼此多照应，日常常舒心。</x:v>
      </x:c>
      <x:c r="I98" s="8" t="str">
        <x:v>To different strengths that help us care for the same family or team.</x:v>
      </x:c>
      <x:c r="J98" s="8" t="str">
        <x:v>敬不同的长处，共同照顾一家或一队人。</x:v>
      </x:c>
      <x:c r="K98" s="8" t="str">
        <x:v>r04-story-03</x:v>
      </x:c>
      <x:c r="L98" s="8" t="str">
        <x:v>《世说新语·德行第八则》元方季方难为兄弟</x:v>
      </x:c>
      <x:c r="M98" s="8" t="str">
        <x:v>元方难为兄，季方难为弟。</x:v>
      </x:c>
      <x:c r="N98" s="8" t="str">
        <x:v>原意兄弟各有美德，难分高下；不是今天口语中关系差的难兄难弟。</x:v>
      </x:c>
      <x:c r="O98" s="8" t="str">
        <x:v>团圆相聚</x:v>
      </x:c>
      <x:c r="P98" s="8" t="str">
        <x:v>未限定</x:v>
      </x:c>
      <x:c r="Q98" s="8" t="str">
        <x:v>未限定</x:v>
      </x:c>
      <x:c r="R98" s="8" t="str">
        <x:v>引句后整理</x:v>
      </x:c>
      <x:c r="S98" s="8" t="str">
        <x:v>雅致</x:v>
      </x:c>
      <x:c r="T98" s="8" t="str">
        <x:v>我以茶代酒，心意一样真。</x:v>
      </x:c>
      <x:c r="U98" s="8" t="str">
        <x:v>With tea in my cup and the same warm wishes.</x:v>
      </x:c>
      <x:c r="V98" s="8" t="str">
        <x:v>《世说新语》里记载：“元方难为兄，季方难为弟。”这则旧事里的兄弟，是各有各的好。今天一家人同桌，咱们也少比较、多体谅，热饭一起吃，日子一起顾。</x:v>
      </x:c>
      <x:c r="W98" s="8" t="str">
        <x:v>《世说新语》里记载：“元方难为兄，季方难为弟。”这则旧事里的兄弟，是各有各的好。今天一家人同桌，咱们也少比较、多体谅，热饭一起吃，日子一起顾。
这杯敬家人，愿彼此多照应，日常常舒心。</x:v>
      </x:c>
      <x:c r="X98" s="8" t="str">
        <x:v>spoken</x:v>
      </x:c>
      <x:c r="Y98" s="8" t="str">
        <x:v>story-2</x:v>
      </x:c>
      <x:c r="Z98" s="8" t="str"/>
      <x:c r="AA98" s="12" t="str"/>
    </x:row>
    <x:row r="99" ht="72" customHeight="1">
      <x:c r="A99" s="9" t="str">
        <x:v>r04-story-07-2</x:v>
      </x:c>
      <x:c r="B99" s="11" t="n">
        <x:v>1</x:v>
      </x:c>
      <x:c r="C99" s="9" t="str">
        <x:v>当前推荐</x:v>
      </x:c>
      <x:c r="D99" s="9" t="str">
        <x:v>家人长辈</x:v>
      </x:c>
      <x:c r="E99" s="9" t="str">
        <x:v>全桌</x:v>
      </x:c>
      <x:c r="F99" s="9" t="str">
        <x:v>把喜欢的记住 · 再说一句</x:v>
      </x:c>
      <x:c r="G99" s="9" t="str">
        <x:v>一家人的心意，有时就在记得谁爱吃哪道菜。敬咱们，愿大家少一点“都行”，多一点认真照顾，也多几顿同桌的饭。借这则旧事的一句：“每煮食，辄贮录焦饭，归以遗母。”</x:v>
      </x:c>
      <x:c r="H99" s="9" t="str">
        <x:v>一家人的心意，有时就在记得谁爱吃哪道菜。敬咱们，愿大家少一点“都行”，多一点认真照顾，也多几顿同桌的饭。
《世说新语》里记载：“每煮食，辄贮录焦饭，归以遗母。”这杯敬家人，愿彼此多照应，日常常舒心。</x:v>
      </x:c>
      <x:c r="I99" s="9" t="str">
        <x:v>To remembering the little things our loved ones enjoy. Here is to another good day together.</x:v>
      </x:c>
      <x:c r="J99" s="9" t="str">
        <x:v>愿记得亲人喜欢的那些小事。也盼再有同聚的好日子。</x:v>
      </x:c>
      <x:c r="K99" s="9" t="str">
        <x:v>r04-story-07</x:v>
      </x:c>
      <x:c r="L99" s="9" t="str">
        <x:v>《世说新语·德行第四十五则》陈遗贮焦饭</x:v>
      </x:c>
      <x:c r="M99" s="9" t="str">
        <x:v>每煮食，辄贮录焦饭，归以遗母。</x:v>
      </x:c>
      <x:c r="N99" s="9" t="str">
        <x:v>取记住亲人喜好的日常照料；末尾因果属当时解释，不作孝行必保平安的承诺。</x:v>
      </x:c>
      <x:c r="O99" s="9" t="str">
        <x:v>团圆相聚</x:v>
      </x:c>
      <x:c r="P99" s="9" t="str">
        <x:v>未限定</x:v>
      </x:c>
      <x:c r="Q99" s="9" t="str">
        <x:v>未限定</x:v>
      </x:c>
      <x:c r="R99" s="9" t="str">
        <x:v>引句后整理</x:v>
      </x:c>
      <x:c r="S99" s="9" t="str">
        <x:v>雅致</x:v>
      </x:c>
      <x:c r="T99" s="9" t="str">
        <x:v>我以茶代酒，心意一样真。</x:v>
      </x:c>
      <x:c r="U99" s="9" t="str">
        <x:v>With tea in my cup and the same warm wishes.</x:v>
      </x:c>
      <x:c r="V99" s="9" t="str">
        <x:v>一家人的心意，有时就在记得谁爱吃哪道菜。敬咱们，愿大家少一点“都行”，多一点认真照顾，也多几顿同桌的饭。借这则旧事的一句：“每煮食，辄贮录焦饭，归以遗母。”</x:v>
      </x:c>
      <x:c r="W99" s="9" t="str">
        <x:v>一家人的心意，有时就在记得谁爱吃哪道菜。敬咱们，愿大家少一点“都行”，多一点认真照顾，也多几顿同桌的饭。
《世说新语》里记载：“每煮食，辄贮录焦饭，归以遗母。”这杯敬家人，愿彼此多照应，日常常舒心。</x:v>
      </x:c>
      <x:c r="X99" s="9" t="str">
        <x:v>spoken</x:v>
      </x:c>
      <x:c r="Y99" s="9" t="str">
        <x:v>story-2</x:v>
      </x:c>
      <x:c r="Z99" s="9" t="str"/>
      <x:c r="AA99" s="12" t="str"/>
    </x:row>
    <x:row r="100" ht="72" customHeight="1">
      <x:c r="A100" s="8" t="str">
        <x:v>r04-story-08-2</x:v>
      </x:c>
      <x:c r="B100" s="10" t="n">
        <x:v>1</x:v>
      </x:c>
      <x:c r="C100" s="8" t="str">
        <x:v>当前推荐</x:v>
      </x:c>
      <x:c r="D100" s="8" t="str">
        <x:v>家人长辈</x:v>
      </x:c>
      <x:c r="E100" s="8" t="str">
        <x:v>全桌</x:v>
      </x:c>
      <x:c r="F100" s="8" t="str">
        <x:v>给日常添一点诗意 · 再说一句</x:v>
      </x:c>
      <x:c r="G100" s="8" t="str">
        <x:v>家里人的好时光，不只在大日子里。坐着聊聊书、聊聊趣事，也值得珍惜。这杯敬咱们，愿家常常有笑声。借这则旧事的一句：“未若柳絮因风起。”</x:v>
      </x:c>
      <x:c r="H100" s="8" t="str">
        <x:v>家里人的好时光，不只在大日子里。坐着聊聊书、聊聊趣事，也值得珍惜。这杯敬咱们，愿家常常有笑声。
《世说新语》里记载：“未若柳絮因风起。”这杯敬家人，愿彼此多照应，日常常舒心。</x:v>
      </x:c>
      <x:c r="I100" s="8" t="str">
        <x:v>To imagination that adds a little delight to daily life. Here is to another good day together.</x:v>
      </x:c>
      <x:c r="J100" s="8" t="str">
        <x:v>愿想象为日常添一点乐趣。也盼再有同聚的好日子。</x:v>
      </x:c>
      <x:c r="K100" s="8" t="str">
        <x:v>r04-story-08</x:v>
      </x:c>
      <x:c r="L100" s="8" t="str">
        <x:v>《世说新语·言语第七十一则》谢道韫咏雪</x:v>
      </x:c>
      <x:c r="M100" s="8" t="str">
        <x:v>未若柳絮因风起。</x:v>
      </x:c>
      <x:c r="N100" s="8" t="str">
        <x:v>雪日家庭论文比喻，不推断今天下雪；姓名异说与诗意高下另议，不拿他人作陪衬。</x:v>
      </x:c>
      <x:c r="O100" s="8" t="str">
        <x:v>团圆相聚</x:v>
      </x:c>
      <x:c r="P100" s="8" t="str">
        <x:v>未限定</x:v>
      </x:c>
      <x:c r="Q100" s="8" t="str">
        <x:v>未限定</x:v>
      </x:c>
      <x:c r="R100" s="8" t="str">
        <x:v>引句后整理</x:v>
      </x:c>
      <x:c r="S100" s="8" t="str">
        <x:v>雅致</x:v>
      </x:c>
      <x:c r="T100" s="8" t="str">
        <x:v>我以茶代酒，心意一样真。</x:v>
      </x:c>
      <x:c r="U100" s="8" t="str">
        <x:v>With tea in my cup and the same warm wishes.</x:v>
      </x:c>
      <x:c r="V100" s="8" t="str">
        <x:v>家里人的好时光，不只在大日子里。坐着聊聊书、聊聊趣事，也值得珍惜。这杯敬咱们，愿家常常有笑声。借这则旧事的一句：“未若柳絮因风起。”</x:v>
      </x:c>
      <x:c r="W100" s="8" t="str">
        <x:v>家里人的好时光，不只在大日子里。坐着聊聊书、聊聊趣事，也值得珍惜。这杯敬咱们，愿家常常有笑声。
《世说新语》里记载：“未若柳絮因风起。”这杯敬家人，愿彼此多照应，日常常舒心。</x:v>
      </x:c>
      <x:c r="X100" s="8" t="str">
        <x:v>spoken</x:v>
      </x:c>
      <x:c r="Y100" s="8" t="str">
        <x:v>story-3</x:v>
      </x:c>
      <x:c r="Z100" s="8" t="str"/>
      <x:c r="AA100" s="12" t="str"/>
    </x:row>
    <x:row r="101" ht="57" customHeight="1">
      <x:c r="A101" s="9" t="str">
        <x:v>r04-story-10-1</x:v>
      </x:c>
      <x:c r="B101" s="11" t="n">
        <x:v>1</x:v>
      </x:c>
      <x:c r="C101" s="9" t="str">
        <x:v>当前推荐</x:v>
      </x:c>
      <x:c r="D101" s="9" t="str">
        <x:v>家人长辈</x:v>
      </x:c>
      <x:c r="E101" s="9" t="str">
        <x:v>全桌</x:v>
      </x:c>
      <x:c r="F101" s="9" t="str">
        <x:v>把好意养在日常</x:v>
      </x:c>
      <x:c r="G101" s="9" t="str">
        <x:v>《世说新语》里记载：“譬如芝兰玉树，欲使其生于阶庭耳。”书里用芝兰玉树说对后辈的期望。今天借来敬一家人，愿我们关心彼此的成长，也容得下各自不同的步调。</x:v>
      </x:c>
      <x:c r="H101" s="9" t="str">
        <x:v>《世说新语》里记载：“譬如芝兰玉树，欲使其生于阶庭耳。”书里用芝兰玉树说对后辈的期望。今天借来敬一家人，愿我们关心彼此的成长，也容得下各自不同的步调。
这杯敬家人，愿彼此多照应，日常常舒心。</x:v>
      </x:c>
      <x:c r="I101" s="9" t="str">
        <x:v>To giving each other time, confidence, and room to grow.</x:v>
      </x:c>
      <x:c r="J101" s="9" t="str">
        <x:v>愿给彼此时间、信心和成长的余地。</x:v>
      </x:c>
      <x:c r="K101" s="9" t="str">
        <x:v>r04-story-10</x:v>
      </x:c>
      <x:c r="L101" s="9" t="str">
        <x:v>《世说新语·言语第九十二则》谢玄芝兰玉树</x:v>
      </x:c>
      <x:c r="M101" s="9" t="str">
        <x:v>譬如芝兰玉树，欲使其生于阶庭耳。</x:v>
      </x:c>
      <x:c r="N101" s="9" t="str">
        <x:v>车骑指谢玄，原谈子弟成长；借培育和欣赏，不默认用户有子女、不夸定前程。</x:v>
      </x:c>
      <x:c r="O101" s="9" t="str">
        <x:v>团圆相聚</x:v>
      </x:c>
      <x:c r="P101" s="9" t="str">
        <x:v>未限定</x:v>
      </x:c>
      <x:c r="Q101" s="9" t="str">
        <x:v>未限定</x:v>
      </x:c>
      <x:c r="R101" s="9" t="str">
        <x:v>引句后整理</x:v>
      </x:c>
      <x:c r="S101" s="9" t="str">
        <x:v>雅致</x:v>
      </x:c>
      <x:c r="T101" s="9" t="str">
        <x:v>我以茶代酒，心意一样真。</x:v>
      </x:c>
      <x:c r="U101" s="9" t="str">
        <x:v>With tea in my cup and the same warm wishes.</x:v>
      </x:c>
      <x:c r="V101" s="9" t="str">
        <x:v>《世说新语》里记载：“譬如芝兰玉树，欲使其生于阶庭耳。”书里用芝兰玉树说对后辈的期望。今天借来敬一家人，愿我们关心彼此的成长，也容得下各自不同的步调。</x:v>
      </x:c>
      <x:c r="W101" s="9" t="str">
        <x:v>《世说新语》里记载：“譬如芝兰玉树，欲使其生于阶庭耳。”书里用芝兰玉树说对后辈的期望。今天借来敬一家人，愿我们关心彼此的成长，也容得下各自不同的步调。
这杯敬家人，愿彼此多照应，日常常舒心。</x:v>
      </x:c>
      <x:c r="X101" s="9" t="str">
        <x:v>spoken</x:v>
      </x:c>
      <x:c r="Y101" s="9" t="str">
        <x:v>story-1</x:v>
      </x:c>
      <x:c r="Z101" s="9" t="str"/>
      <x:c r="AA101" s="12" t="str"/>
    </x:row>
    <x:row r="102" ht="42" customHeight="1">
      <x:c r="A102" s="8" t="str">
        <x:v>spoken-family-01</x:v>
      </x:c>
      <x:c r="B102" s="10" t="n">
        <x:v>1</x:v>
      </x:c>
      <x:c r="C102" s="8" t="str">
        <x:v>当前推荐</x:v>
      </x:c>
      <x:c r="D102" s="8" t="str">
        <x:v>家人长辈</x:v>
      </x:c>
      <x:c r="E102" s="8" t="str">
        <x:v>全桌</x:v>
      </x:c>
      <x:c r="F102" s="8" t="str">
        <x:v>一家人，好好吃顿饭</x:v>
      </x:c>
      <x:c r="G102" s="8" t="str">
        <x:v>一家人坐在一起，饭都吃得香一点。这杯祝大家平平安安，有空就多聚聚。</x:v>
      </x:c>
      <x:c r="H102" s="8" t="str">
        <x:v>一家人能围着桌子好好吃饭，就挺让人高兴的。这杯我敬大家，祝咱们各自忙得顺利，也别忘了照顾自己。有时间就见见面，没什么大事，也可以一起吃顿饭。</x:v>
      </x:c>
      <x:c r="I102" s="8" t="str">
        <x:v>To our family: peaceful days, good health, and more meals together.</x:v>
      </x:c>
      <x:c r="J102" s="8" t="str">
        <x:v>祝一家人日子平安、身体健康，也愿多些一起吃饭的时候。</x:v>
      </x:c>
      <x:c r="K102" s="8" t="str">
        <x:v>family</x:v>
      </x:c>
      <x:c r="L102" s="8" t="str">
        <x:v>一件日常，托住一份心意</x:v>
      </x:c>
      <x:c r="M102" s="8" t="str"/>
      <x:c r="N102" s="8" t="str">
        <x:v>像平时和家人说话；不预设谁结婚、谁有孩子或谁负责做饭。</x:v>
      </x:c>
      <x:c r="O102" s="8" t="str">
        <x:v>未限定</x:v>
      </x:c>
      <x:c r="P102" s="8" t="str">
        <x:v>未限定</x:v>
      </x:c>
      <x:c r="Q102" s="8" t="str">
        <x:v>未限定</x:v>
      </x:c>
      <x:c r="R102" s="8" t="str">
        <x:v>依据表达方法整理</x:v>
      </x:c>
      <x:c r="S102" s="8" t="str">
        <x:v>雅致</x:v>
      </x:c>
      <x:c r="T102" s="8" t="str">
        <x:v>今天我以茶代酒，心意都在。</x:v>
      </x:c>
      <x:c r="U102" s="8" t="str">
        <x:v>I’m raising a cup of tea, with the same warm wishes.</x:v>
      </x:c>
      <x:c r="V102" s="8" t="str">
        <x:v>一家人坐在一起，饭都吃得香一点。这杯祝大家平平安安，有空就多聚聚。</x:v>
      </x:c>
      <x:c r="W102" s="8" t="str">
        <x:v>一家人能围着桌子好好吃饭，就挺让人高兴的。这杯我敬大家，祝咱们各自忙得顺利，也别忘了照顾自己。有时间就见见面，没什么大事，也可以一起吃顿饭。</x:v>
      </x:c>
      <x:c r="X102" s="8" t="str">
        <x:v>spoken</x:v>
      </x:c>
      <x:c r="Y102" s="8" t="str">
        <x:v>plain</x:v>
      </x:c>
      <x:c r="Z102" s="8" t="str"/>
      <x:c r="AA102" s="12" t="str"/>
    </x:row>
    <x:row r="103" ht="42" customHeight="1">
      <x:c r="A103" s="9" t="str">
        <x:v>spoken-family-02</x:v>
      </x:c>
      <x:c r="B103" s="11" t="n">
        <x:v>1</x:v>
      </x:c>
      <x:c r="C103" s="9" t="str">
        <x:v>当前推荐</x:v>
      </x:c>
      <x:c r="D103" s="9" t="str">
        <x:v>家人长辈</x:v>
      </x:c>
      <x:c r="E103" s="9" t="str">
        <x:v>全桌</x:v>
      </x:c>
      <x:c r="F103" s="9" t="str">
        <x:v>都把自己照顾好</x:v>
      </x:c>
      <x:c r="G103" s="9" t="str">
        <x:v>这杯不祝别的，就祝咱们都把自己照顾好。出门顺利，回家有笑声，比什么都强。</x:v>
      </x:c>
      <x:c r="H103" s="9" t="str">
        <x:v>一家人的心愿，说到底也挺简单：在外面顺利，回到家舒心，想说话的时候有人听。这杯祝大家身体好、心情好，各自把日子过好，聚在一起就更高兴了。</x:v>
      </x:c>
      <x:c r="I103" s="9" t="str">
        <x:v>May we take care of ourselves, feel at home, and always have someone willing to listen.</x:v>
      </x:c>
      <x:c r="J103" s="9" t="str">
        <x:v>愿我们照顾好自己，回家舒心，也总有人愿意倾听。</x:v>
      </x:c>
      <x:c r="K103" s="9" t="str">
        <x:v>family</x:v>
      </x:c>
      <x:c r="L103" s="9" t="str">
        <x:v>一件日常，托住一份心意</x:v>
      </x:c>
      <x:c r="M103" s="9" t="str"/>
      <x:c r="N103" s="9" t="str">
        <x:v>像平时和家人说话；不预设谁结婚、谁有孩子或谁负责做饭。</x:v>
      </x:c>
      <x:c r="O103" s="9" t="str">
        <x:v>未限定</x:v>
      </x:c>
      <x:c r="P103" s="9" t="str">
        <x:v>未限定</x:v>
      </x:c>
      <x:c r="Q103" s="9" t="str">
        <x:v>未限定</x:v>
      </x:c>
      <x:c r="R103" s="9" t="str">
        <x:v>依据表达方法整理</x:v>
      </x:c>
      <x:c r="S103" s="9" t="str">
        <x:v>雅致</x:v>
      </x:c>
      <x:c r="T103" s="9" t="str">
        <x:v>杯里是茶，祝福一样认真。</x:v>
      </x:c>
      <x:c r="U103" s="9" t="str">
        <x:v>I’m raising a cup of tea, with the same warm wishes.</x:v>
      </x:c>
      <x:c r="V103" s="9" t="str">
        <x:v>这杯不祝别的，就祝咱们都把自己照顾好。出门顺利，回家有笑声，比什么都强。</x:v>
      </x:c>
      <x:c r="W103" s="9" t="str">
        <x:v>一家人的心愿，说到底也挺简单：在外面顺利，回到家舒心，想说话的时候有人听。这杯祝大家身体好、心情好，各自把日子过好，聚在一起就更高兴了。</x:v>
      </x:c>
      <x:c r="X103" s="9" t="str">
        <x:v>spoken</x:v>
      </x:c>
      <x:c r="Y103" s="9" t="str">
        <x:v>plain</x:v>
      </x:c>
      <x:c r="Z103" s="9" t="str"/>
      <x:c r="AA103" s="12" t="str"/>
    </x:row>
    <x:row r="104" ht="42" customHeight="1">
      <x:c r="A104" s="8" t="str">
        <x:v>spoken-family-03</x:v>
      </x:c>
      <x:c r="B104" s="10" t="n">
        <x:v>1</x:v>
      </x:c>
      <x:c r="C104" s="8" t="str">
        <x:v>当前推荐</x:v>
      </x:c>
      <x:c r="D104" s="8" t="str">
        <x:v>家人长辈</x:v>
      </x:c>
      <x:c r="E104" s="8" t="str">
        <x:v>全桌</x:v>
      </x:c>
      <x:c r="F104" s="8" t="str">
        <x:v>家常话，也值得好好说</x:v>
      </x:c>
      <x:c r="G104" s="8" t="str">
        <x:v>平时觉得是一家人，有些好话反而说得少。今天借这杯说一句：愿大家都好，咱们常聚。</x:v>
      </x:c>
      <x:c r="H104" s="8" t="str">
        <x:v>因为是一家人，有些关心总觉得不用说，今天就借这杯说出来。愿大家出门有人惦记，回家有人说话；手里的事顺顺利利，平常的日子也能过得热热乎乎。</x:v>
      </x:c>
      <x:c r="I104" s="8" t="str">
        <x:v>To the care we sometimes leave unspoken, and to keeping our family close.</x:v>
      </x:c>
      <x:c r="J104" s="8" t="str">
        <x:v>敬那些平时没说出口的关心，也愿一家人常亲近。</x:v>
      </x:c>
      <x:c r="K104" s="8" t="str">
        <x:v>family</x:v>
      </x:c>
      <x:c r="L104" s="8" t="str">
        <x:v>一件日常，托住一份心意</x:v>
      </x:c>
      <x:c r="M104" s="8" t="str"/>
      <x:c r="N104" s="8" t="str">
        <x:v>像平时和家人说话；不预设谁结婚、谁有孩子或谁负责做饭。</x:v>
      </x:c>
      <x:c r="O104" s="8" t="str">
        <x:v>未限定</x:v>
      </x:c>
      <x:c r="P104" s="8" t="str">
        <x:v>未限定</x:v>
      </x:c>
      <x:c r="Q104" s="8" t="str">
        <x:v>未限定</x:v>
      </x:c>
      <x:c r="R104" s="8" t="str">
        <x:v>依据表达方法整理</x:v>
      </x:c>
      <x:c r="S104" s="8" t="str">
        <x:v>雅致</x:v>
      </x:c>
      <x:c r="T104" s="8" t="str">
        <x:v>我用茶陪大家，咱们自在就好。</x:v>
      </x:c>
      <x:c r="U104" s="8" t="str">
        <x:v>I’m raising a cup of tea, with the same warm wishes.</x:v>
      </x:c>
      <x:c r="V104" s="8" t="str">
        <x:v>平时觉得是一家人，有些好话反而说得少。今天借这杯说一句：愿大家都好，咱们常聚。</x:v>
      </x:c>
      <x:c r="W104" s="8" t="str">
        <x:v>因为是一家人，有些关心总觉得不用说，今天就借这杯说出来。愿大家出门有人惦记，回家有人说话；手里的事顺顺利利，平常的日子也能过得热热乎乎。</x:v>
      </x:c>
      <x:c r="X104" s="8" t="str">
        <x:v>spoken</x:v>
      </x:c>
      <x:c r="Y104" s="8" t="str">
        <x:v>plain</x:v>
      </x:c>
      <x:c r="Z104" s="8" t="str"/>
      <x:c r="AA104" s="12" t="str"/>
    </x:row>
    <x:row r="105" ht="42" customHeight="1">
      <x:c r="A105" s="9" t="str">
        <x:v>spoken-family-04</x:v>
      </x:c>
      <x:c r="B105" s="11" t="n">
        <x:v>1</x:v>
      </x:c>
      <x:c r="C105" s="9" t="str">
        <x:v>当前推荐</x:v>
      </x:c>
      <x:c r="D105" s="9" t="str">
        <x:v>家人长辈</x:v>
      </x:c>
      <x:c r="E105" s="9" t="str">
        <x:v>全桌</x:v>
      </x:c>
      <x:c r="F105" s="9" t="str">
        <x:v>家常里就有好滋味</x:v>
      </x:c>
      <x:c r="G105" s="9" t="str">
        <x:v>“把酒话桑麻”，放到咱家，就是坐下来聊聊家常。这杯祝大家吃得香、过得好。</x:v>
      </x:c>
      <x:c r="H105" s="9" t="str">
        <x:v>“把酒话桑麻”，聊的是日常的小事。咱们今天也聊聊近况，说说惦记的事，一家人不用讲得多漂亮。我敬大家，愿平常的日子有滋味，围着桌子的时候有笑声。</x:v>
      </x:c>
      <x:c r="I105" s="9" t="str">
        <x:v>To everyday family conversations and the warmth of being together.</x:v>
      </x:c>
      <x:c r="J105" s="9" t="str">
        <x:v>敬一家人的家常话，也敬相聚的温暖。</x:v>
      </x:c>
      <x:c r="K105" s="9" t="str">
        <x:v>reunion</x:v>
      </x:c>
      <x:c r="L105" s="9" t="str">
        <x:v>相聚与再会</x:v>
      </x:c>
      <x:c r="M105" s="9" t="str">
        <x:v>把酒话桑麻</x:v>
      </x:c>
      <x:c r="N105" s="9" t="str">
        <x:v>像平时和家人说话；不预设谁结婚、谁有孩子或谁负责做饭。</x:v>
      </x:c>
      <x:c r="O105" s="9" t="str">
        <x:v>未限定</x:v>
      </x:c>
      <x:c r="P105" s="9" t="str">
        <x:v>未限定</x:v>
      </x:c>
      <x:c r="Q105" s="9" t="str">
        <x:v>未限定</x:v>
      </x:c>
      <x:c r="R105" s="9" t="str">
        <x:v>引句后整理</x:v>
      </x:c>
      <x:c r="S105" s="9" t="str">
        <x:v>雅致</x:v>
      </x:c>
      <x:c r="T105" s="9" t="str">
        <x:v>今天我以茶代酒，心意都在。</x:v>
      </x:c>
      <x:c r="U105" s="9" t="str">
        <x:v>I’m raising a cup of tea, with the same warm wishes.</x:v>
      </x:c>
      <x:c r="V105" s="9" t="str">
        <x:v>“把酒话桑麻”，放到咱家，就是坐下来聊聊家常。这杯祝大家吃得香、过得好。</x:v>
      </x:c>
      <x:c r="W105" s="9" t="str">
        <x:v>“把酒话桑麻”，聊的是日常的小事。咱们今天也聊聊近况，说说惦记的事，一家人不用讲得多漂亮。我敬大家，愿平常的日子有滋味，围着桌子的时候有笑声。</x:v>
      </x:c>
      <x:c r="X105" s="9" t="str">
        <x:v>spoken</x:v>
      </x:c>
      <x:c r="Y105" s="9" t="str">
        <x:v>verse</x:v>
      </x:c>
      <x:c r="Z105" s="9" t="str"/>
      <x:c r="AA105" s="12" t="str"/>
    </x:row>
    <x:row r="106" ht="42" customHeight="1">
      <x:c r="A106" s="8" t="str">
        <x:v>spoken-family-05</x:v>
      </x:c>
      <x:c r="B106" s="10" t="n">
        <x:v>1</x:v>
      </x:c>
      <x:c r="C106" s="8" t="str">
        <x:v>当前推荐</x:v>
      </x:c>
      <x:c r="D106" s="8" t="str">
        <x:v>家人长辈</x:v>
      </x:c>
      <x:c r="E106" s="8" t="str">
        <x:v>全桌</x:v>
      </x:c>
      <x:c r="F106" s="8" t="str">
        <x:v>珍惜这一桌人</x:v>
      </x:c>
      <x:c r="G106" s="8" t="str">
        <x:v>借一句“欣于所遇”，今天我最想珍惜的就是这一桌人。来，祝咱们都平安、都顺心。</x:v>
      </x:c>
      <x:c r="H106" s="8" t="str">
        <x:v>借一句“欣于所遇”，说说今天坐在这儿的高兴。一家人各有各的事，能在这一桌说笑，就值得珍惜。这杯祝大家少点烦心，多点舒心，也给见面多留点时间。</x:v>
      </x:c>
      <x:c r="I106" s="8" t="str">
        <x:v>To treasuring the people at this table and making more time for one another.</x:v>
      </x:c>
      <x:c r="J106" s="8" t="str">
        <x:v>敬珍惜同桌的家人，也愿多留时间相聚。</x:v>
      </x:c>
      <x:c r="K106" s="8" t="str">
        <x:v>lantingMeet</x:v>
      </x:c>
      <x:c r="L106" s="8" t="str">
        <x:v>欣于所遇，珍惜此刻</x:v>
      </x:c>
      <x:c r="M106" s="8" t="str">
        <x:v>欣于所遇</x:v>
      </x:c>
      <x:c r="N106" s="8" t="str">
        <x:v>像平时和家人说话；不预设谁结婚、谁有孩子或谁负责做饭。</x:v>
      </x:c>
      <x:c r="O106" s="8" t="str">
        <x:v>未限定</x:v>
      </x:c>
      <x:c r="P106" s="8" t="str">
        <x:v>未限定</x:v>
      </x:c>
      <x:c r="Q106" s="8" t="str">
        <x:v>未限定</x:v>
      </x:c>
      <x:c r="R106" s="8" t="str">
        <x:v>引句后整理</x:v>
      </x:c>
      <x:c r="S106" s="8" t="str">
        <x:v>雅致</x:v>
      </x:c>
      <x:c r="T106" s="8" t="str">
        <x:v>杯里是茶，祝福一样认真。</x:v>
      </x:c>
      <x:c r="U106" s="8" t="str">
        <x:v>I’m raising a cup of tea, with the same warm wishes.</x:v>
      </x:c>
      <x:c r="V106" s="8" t="str">
        <x:v>借一句“欣于所遇”，今天我最想珍惜的就是这一桌人。来，祝咱们都平安、都顺心。</x:v>
      </x:c>
      <x:c r="W106" s="8" t="str">
        <x:v>借一句“欣于所遇”，说说今天坐在这儿的高兴。一家人各有各的事，能在这一桌说笑，就值得珍惜。这杯祝大家少点烦心，多点舒心，也给见面多留点时间。</x:v>
      </x:c>
      <x:c r="X106" s="8" t="str">
        <x:v>spoken</x:v>
      </x:c>
      <x:c r="Y106" s="8" t="str">
        <x:v>verse</x:v>
      </x:c>
      <x:c r="Z106" s="8" t="str"/>
      <x:c r="AA106" s="12" t="str"/>
    </x:row>
    <x:row r="107" ht="42" customHeight="1">
      <x:c r="A107" s="9" t="str">
        <x:v>spoken-family-06</x:v>
      </x:c>
      <x:c r="B107" s="11" t="n">
        <x:v>1</x:v>
      </x:c>
      <x:c r="C107" s="9" t="str">
        <x:v>当前推荐</x:v>
      </x:c>
      <x:c r="D107" s="9" t="str">
        <x:v>家人长辈</x:v>
      </x:c>
      <x:c r="E107" s="9" t="str">
        <x:v>全桌</x:v>
      </x:c>
      <x:c r="F107" s="9" t="str">
        <x:v>有话慢慢说</x:v>
      </x:c>
      <x:c r="G107" s="9" t="str">
        <x:v>“畅叙幽情”，在家里也不用说得玄乎，就是有话慢慢说。这杯祝咱们一家，越处越亲。</x:v>
      </x:c>
      <x:c r="H107" s="9" t="str">
        <x:v>借“畅叙幽情”四个字，今天咱们把想说的话慢慢说。外面的事情可以先放一放，一家人一起吃饭，就先关心关心彼此。这杯祝大家平安，也祝家里的笑声多一点。</x:v>
      </x:c>
      <x:c r="I107" s="9" t="str">
        <x:v>To unhurried conversations and a family that keeps growing closer.</x:v>
      </x:c>
      <x:c r="J107" s="9" t="str">
        <x:v>敬慢慢说的话，也愿一家人越来越亲近。</x:v>
      </x:c>
      <x:c r="K107" s="9" t="str">
        <x:v>lanting</x:v>
      </x:c>
      <x:c r="L107" s="9" t="str">
        <x:v>王羲之《兰亭集序》</x:v>
      </x:c>
      <x:c r="M107" s="9" t="str">
        <x:v>一觞一咏，亦足以畅叙幽情。</x:v>
      </x:c>
      <x:c r="N107" s="9" t="str">
        <x:v>像平时和家人说话；不预设谁结婚、谁有孩子或谁负责做饭。</x:v>
      </x:c>
      <x:c r="O107" s="9" t="str">
        <x:v>未限定</x:v>
      </x:c>
      <x:c r="P107" s="9" t="str">
        <x:v>未限定</x:v>
      </x:c>
      <x:c r="Q107" s="9" t="str">
        <x:v>未限定</x:v>
      </x:c>
      <x:c r="R107" s="9" t="str">
        <x:v>引句后整理</x:v>
      </x:c>
      <x:c r="S107" s="9" t="str">
        <x:v>雅致</x:v>
      </x:c>
      <x:c r="T107" s="9" t="str">
        <x:v>我用茶陪大家，咱们自在就好。</x:v>
      </x:c>
      <x:c r="U107" s="9" t="str">
        <x:v>I’m raising a cup of tea, with the same warm wishes.</x:v>
      </x:c>
      <x:c r="V107" s="9" t="str">
        <x:v>“畅叙幽情”，在家里也不用说得玄乎，就是有话慢慢说。这杯祝咱们一家，越处越亲。</x:v>
      </x:c>
      <x:c r="W107" s="9" t="str">
        <x:v>借“畅叙幽情”四个字，今天咱们把想说的话慢慢说。外面的事情可以先放一放，一家人一起吃饭，就先关心关心彼此。这杯祝大家平安，也祝家里的笑声多一点。</x:v>
      </x:c>
      <x:c r="X107" s="9" t="str">
        <x:v>spoken</x:v>
      </x:c>
      <x:c r="Y107" s="9" t="str">
        <x:v>verse</x:v>
      </x:c>
      <x:c r="Z107" s="9" t="str"/>
      <x:c r="AA107" s="12" t="str"/>
    </x:row>
    <x:row r="108" ht="42" customHeight="1">
      <x:c r="A108" s="8" t="str">
        <x:v>spoken-family-07</x:v>
      </x:c>
      <x:c r="B108" s="10" t="n">
        <x:v>1</x:v>
      </x:c>
      <x:c r="C108" s="8" t="str">
        <x:v>当前推荐</x:v>
      </x:c>
      <x:c r="D108" s="8" t="str">
        <x:v>家人长辈</x:v>
      </x:c>
      <x:c r="E108" s="8" t="str">
        <x:v>全桌</x:v>
      </x:c>
      <x:c r="F108" s="8" t="str">
        <x:v>先别只顾着夹菜</x:v>
      </x:c>
      <x:c r="G108" s="8" t="str">
        <x:v>菜要趁热，心里话也趁今天说：祝咱们一家人都好，吃饭有胃口，生活有盼头。</x:v>
      </x:c>
      <x:c r="H108" s="8" t="str">
        <x:v>咱们一家人吃饭，最容易忙着夹菜，把好话都忘了说。今天我补一句：祝大家吃饭有胃口，睡觉少操心，日子有点小盼头。来，一起高兴一下。</x:v>
      </x:c>
      <x:c r="I108" s="8" t="str">
        <x:v>Good appetites, peaceful nights, and something happy to look forward to. Cheers, family!</x:v>
      </x:c>
      <x:c r="J108" s="8" t="str">
        <x:v>祝大家吃得香、睡得好，日子里有开心的盼头。</x:v>
      </x:c>
      <x:c r="K108" s="8" t="str">
        <x:v>family</x:v>
      </x:c>
      <x:c r="L108" s="8" t="str">
        <x:v>一件日常，托住一份心意</x:v>
      </x:c>
      <x:c r="M108" s="8" t="str"/>
      <x:c r="N108" s="8" t="str">
        <x:v>像平时和家人说话；不预设谁结婚、谁有孩子或谁负责做饭。</x:v>
      </x:c>
      <x:c r="O108" s="8" t="str">
        <x:v>未限定</x:v>
      </x:c>
      <x:c r="P108" s="8" t="str">
        <x:v>未限定</x:v>
      </x:c>
      <x:c r="Q108" s="8" t="str">
        <x:v>未限定</x:v>
      </x:c>
      <x:c r="R108" s="8" t="str">
        <x:v>依据表达方法整理</x:v>
      </x:c>
      <x:c r="S108" s="8" t="str">
        <x:v>诙谐</x:v>
      </x:c>
      <x:c r="T108" s="8" t="str">
        <x:v>今天我以茶代酒，心意都在。</x:v>
      </x:c>
      <x:c r="U108" s="8" t="str">
        <x:v>I’m raising a cup of tea, with the same warm wishes.</x:v>
      </x:c>
      <x:c r="V108" s="8" t="str">
        <x:v>菜要趁热，心里话也趁今天说：祝咱们一家人都好，吃饭有胃口，生活有盼头。</x:v>
      </x:c>
      <x:c r="W108" s="8" t="str">
        <x:v>咱们一家人吃饭，最容易忙着夹菜，把好话都忘了说。今天我补一句：祝大家吃饭有胃口，睡觉少操心，日子有点小盼头。来，一起高兴一下。</x:v>
      </x:c>
      <x:c r="X108" s="8" t="str">
        <x:v>spoken</x:v>
      </x:c>
      <x:c r="Y108" s="8" t="str">
        <x:v>fun</x:v>
      </x:c>
      <x:c r="Z108" s="8" t="str"/>
      <x:c r="AA108" s="12" t="str"/>
    </x:row>
    <x:row r="109" ht="42" customHeight="1">
      <x:c r="A109" s="9" t="str">
        <x:v>spoken-family-08</x:v>
      </x:c>
      <x:c r="B109" s="11" t="n">
        <x:v>1</x:v>
      </x:c>
      <x:c r="C109" s="9" t="str">
        <x:v>当前推荐</x:v>
      </x:c>
      <x:c r="D109" s="9" t="str">
        <x:v>家人长辈</x:v>
      </x:c>
      <x:c r="E109" s="9" t="str">
        <x:v>全桌</x:v>
      </x:c>
      <x:c r="F109" s="9" t="str">
        <x:v>把见面排进日程</x:v>
      </x:c>
      <x:c r="G109" s="9" t="str">
        <x:v>一家人别只在手机里碰头，吃饭也得排上号。这杯祝大家都顺利，下回咱们再聚。</x:v>
      </x:c>
      <x:c r="H109" s="9" t="str">
        <x:v>手机上的消息可以慢慢回，一家人的饭也得找时间吃。今天这杯祝大家都顺顺当当，也给咱们提个醒：有空多见面，哪怕只是吃碗面，也比光发个表情热乎。</x:v>
      </x:c>
      <x:c r="I109" s="9" t="str">
        <x:v>To seeing one another in person, even if it’s only over a simple meal.</x:v>
      </x:c>
      <x:c r="J109" s="9" t="str">
        <x:v>敬真正见上一面，哪怕只是一起吃顿简单的饭。</x:v>
      </x:c>
      <x:c r="K109" s="9" t="str">
        <x:v>family</x:v>
      </x:c>
      <x:c r="L109" s="9" t="str">
        <x:v>一件日常，托住一份心意</x:v>
      </x:c>
      <x:c r="M109" s="9" t="str"/>
      <x:c r="N109" s="9" t="str">
        <x:v>像平时和家人说话；不预设谁结婚、谁有孩子或谁负责做饭。</x:v>
      </x:c>
      <x:c r="O109" s="9" t="str">
        <x:v>未限定</x:v>
      </x:c>
      <x:c r="P109" s="9" t="str">
        <x:v>未限定</x:v>
      </x:c>
      <x:c r="Q109" s="9" t="str">
        <x:v>未限定</x:v>
      </x:c>
      <x:c r="R109" s="9" t="str">
        <x:v>依据表达方法整理</x:v>
      </x:c>
      <x:c r="S109" s="9" t="str">
        <x:v>诙谐</x:v>
      </x:c>
      <x:c r="T109" s="9" t="str">
        <x:v>杯里是茶，祝福一样认真。</x:v>
      </x:c>
      <x:c r="U109" s="9" t="str">
        <x:v>I’m raising a cup of tea, with the same warm wishes.</x:v>
      </x:c>
      <x:c r="V109" s="9" t="str">
        <x:v>一家人别只在手机里碰头，吃饭也得排上号。这杯祝大家都顺利，下回咱们再聚。</x:v>
      </x:c>
      <x:c r="W109" s="9" t="str">
        <x:v>手机上的消息可以慢慢回，一家人的饭也得找时间吃。今天这杯祝大家都顺顺当当，也给咱们提个醒：有空多见面，哪怕只是吃碗面，也比光发个表情热乎。</x:v>
      </x:c>
      <x:c r="X109" s="9" t="str">
        <x:v>spoken</x:v>
      </x:c>
      <x:c r="Y109" s="9" t="str">
        <x:v>fun</x:v>
      </x:c>
      <x:c r="Z109" s="9" t="str"/>
      <x:c r="AA109" s="12" t="str"/>
    </x:row>
    <x:row r="110" ht="42" customHeight="1">
      <x:c r="A110" s="8" t="str">
        <x:v>spoken-family-09</x:v>
      </x:c>
      <x:c r="B110" s="10" t="n">
        <x:v>1</x:v>
      </x:c>
      <x:c r="C110" s="8" t="str">
        <x:v>当前推荐</x:v>
      </x:c>
      <x:c r="D110" s="8" t="str">
        <x:v>家人长辈</x:v>
      </x:c>
      <x:c r="E110" s="8" t="str">
        <x:v>全桌</x:v>
      </x:c>
      <x:c r="F110" s="8" t="str">
        <x:v>家里人都好，心就安稳</x:v>
      </x:c>
      <x:c r="G110" s="8" t="str">
        <x:v>在外面各有各的忙，家里人都好，心就安稳。这杯祝咱们平安，也祝日子有滋味。</x:v>
      </x:c>
      <x:c r="H110" s="8" t="str">
        <x:v>今天看到大家坐在一桌，心里就觉得挺安稳。这杯祝咱们都好，出门顺利，回家舒心。平时记得报个平安，有空也记得坐下来好好吃顿饭。</x:v>
      </x:c>
      <x:c r="I110" s="8" t="str">
        <x:v>When our family is well, our hearts feel steadier. Wishing everyone peace and joy.</x:v>
      </x:c>
      <x:c r="J110" s="8" t="str">
        <x:v>家人都好，心里就踏实，祝大家平安、开心。</x:v>
      </x:c>
      <x:c r="K110" s="8" t="str">
        <x:v>family</x:v>
      </x:c>
      <x:c r="L110" s="8" t="str">
        <x:v>一件日常，托住一份心意</x:v>
      </x:c>
      <x:c r="M110" s="8" t="str"/>
      <x:c r="N110" s="8" t="str">
        <x:v>像平时和家人说话；不预设谁结婚、谁有孩子或谁负责做饭。</x:v>
      </x:c>
      <x:c r="O110" s="8" t="str">
        <x:v>未限定</x:v>
      </x:c>
      <x:c r="P110" s="8" t="str">
        <x:v>未限定</x:v>
      </x:c>
      <x:c r="Q110" s="8" t="str">
        <x:v>未限定</x:v>
      </x:c>
      <x:c r="R110" s="8" t="str">
        <x:v>依据表达方法整理</x:v>
      </x:c>
      <x:c r="S110" s="8" t="str">
        <x:v>雅致</x:v>
      </x:c>
      <x:c r="T110" s="8" t="str">
        <x:v>我用茶陪大家，咱们自在就好。</x:v>
      </x:c>
      <x:c r="U110" s="8" t="str">
        <x:v>I’m raising a cup of tea, with the same warm wishes.</x:v>
      </x:c>
      <x:c r="V110" s="8" t="str">
        <x:v>在外面各有各的忙，家里人都好，心就安稳。这杯祝咱们平安，也祝日子有滋味。</x:v>
      </x:c>
      <x:c r="W110" s="8" t="str">
        <x:v>今天看到大家坐在一桌，心里就觉得挺安稳。这杯祝咱们都好，出门顺利，回家舒心。平时记得报个平安，有空也记得坐下来好好吃顿饭。</x:v>
      </x:c>
      <x:c r="X110" s="8" t="str">
        <x:v>spoken</x:v>
      </x:c>
      <x:c r="Y110" s="8" t="str">
        <x:v>plain</x:v>
      </x:c>
      <x:c r="Z110" s="8" t="str"/>
      <x:c r="AA110" s="12" t="str"/>
    </x:row>
    <x:row r="111" ht="42" customHeight="1">
      <x:c r="A111" s="9" t="str">
        <x:v>spoken-family-10</x:v>
      </x:c>
      <x:c r="B111" s="11" t="n">
        <x:v>1</x:v>
      </x:c>
      <x:c r="C111" s="9" t="str">
        <x:v>当前推荐</x:v>
      </x:c>
      <x:c r="D111" s="9" t="str">
        <x:v>家人长辈</x:v>
      </x:c>
      <x:c r="E111" s="9" t="str">
        <x:v>全桌</x:v>
      </x:c>
      <x:c r="F111" s="9" t="str">
        <x:v>饭桌上也有牵挂</x:v>
      </x:c>
      <x:c r="G111" s="9" t="str">
        <x:v>“把酒话桑麻”，咱们围桌说家常。问的都是小事，惦记的都是自己人，来，祝一家都好。</x:v>
      </x:c>
      <x:c r="H111" s="9" t="str">
        <x:v>“把酒话桑麻”，今天咱们就在饭桌上聊聊家常。问一句近况，听几句心事，都是一家人的牵挂。这杯祝大家平安顺利，也愿咱们常有这样的热乎劲儿。</x:v>
      </x:c>
      <x:c r="I111" s="9" t="str">
        <x:v>To small questions that carry a family’s care, and to staying close.</x:v>
      </x:c>
      <x:c r="J111" s="9" t="str">
        <x:v>敬家常问候里的关心，也愿一家人常亲近。</x:v>
      </x:c>
      <x:c r="K111" s="9" t="str">
        <x:v>reunion</x:v>
      </x:c>
      <x:c r="L111" s="9" t="str">
        <x:v>相聚与再会</x:v>
      </x:c>
      <x:c r="M111" s="9" t="str">
        <x:v>把酒话桑麻</x:v>
      </x:c>
      <x:c r="N111" s="9" t="str">
        <x:v>像平时和家人说话；不预设谁结婚、谁有孩子或谁负责做饭。</x:v>
      </x:c>
      <x:c r="O111" s="9" t="str">
        <x:v>未限定</x:v>
      </x:c>
      <x:c r="P111" s="9" t="str">
        <x:v>未限定</x:v>
      </x:c>
      <x:c r="Q111" s="9" t="str">
        <x:v>未限定</x:v>
      </x:c>
      <x:c r="R111" s="9" t="str">
        <x:v>引句后整理</x:v>
      </x:c>
      <x:c r="S111" s="9" t="str">
        <x:v>雅致</x:v>
      </x:c>
      <x:c r="T111" s="9" t="str">
        <x:v>今天我以茶代酒，心意都在。</x:v>
      </x:c>
      <x:c r="U111" s="9" t="str">
        <x:v>I’m raising a cup of tea, with the same warm wishes.</x:v>
      </x:c>
      <x:c r="V111" s="9" t="str">
        <x:v>“把酒话桑麻”，咱们围桌说家常。问的都是小事，惦记的都是自己人，来，祝一家都好。</x:v>
      </x:c>
      <x:c r="W111" s="9" t="str">
        <x:v>“把酒话桑麻”，今天咱们就在饭桌上聊聊家常。问一句近况，听几句心事，都是一家人的牵挂。这杯祝大家平安顺利，也愿咱们常有这样的热乎劲儿。</x:v>
      </x:c>
      <x:c r="X111" s="9" t="str">
        <x:v>spoken</x:v>
      </x:c>
      <x:c r="Y111" s="9" t="str">
        <x:v>verse</x:v>
      </x:c>
      <x:c r="Z111" s="9" t="str"/>
      <x:c r="AA111" s="12" t="str"/>
    </x:row>
    <x:row r="112" ht="42" customHeight="1">
      <x:c r="A112" s="8" t="str">
        <x:v>spoken-family-11</x:v>
      </x:c>
      <x:c r="B112" s="10" t="n">
        <x:v>1</x:v>
      </x:c>
      <x:c r="C112" s="8" t="str">
        <x:v>当前推荐</x:v>
      </x:c>
      <x:c r="D112" s="8" t="str">
        <x:v>家人长辈</x:v>
      </x:c>
      <x:c r="E112" s="8" t="str">
        <x:v>全桌</x:v>
      </x:c>
      <x:c r="F112" s="8" t="str">
        <x:v>别把自己忙成勿扰模式</x:v>
      </x:c>
      <x:c r="G112" s="8" t="str">
        <x:v>大家再忙，也别把自己过成勿扰模式。这杯祝咱们有事肯开口，没事也能多说两句。</x:v>
      </x:c>
      <x:c r="H112" s="8" t="str">
        <x:v>一家人平时各忙各的，别忙着忙着，就只剩下手机里的表情包了。今天这杯祝咱们有事肯开口，没事也能多聊两句，把一家人的热乎劲儿留住。</x:v>
      </x:c>
      <x:c r="I112" s="8" t="str">
        <x:v>May busy lives never put our family on “do not disturb.” Let’s keep talking.</x:v>
      </x:c>
      <x:c r="J112" s="8" t="str">
        <x:v>愿忙碌别把家人变成勿扰模式，咱们常说说话。</x:v>
      </x:c>
      <x:c r="K112" s="8" t="str">
        <x:v>family</x:v>
      </x:c>
      <x:c r="L112" s="8" t="str">
        <x:v>一件日常，托住一份心意</x:v>
      </x:c>
      <x:c r="M112" s="8" t="str"/>
      <x:c r="N112" s="8" t="str">
        <x:v>像平时和家人说话；不预设谁结婚、谁有孩子或谁负责做饭。</x:v>
      </x:c>
      <x:c r="O112" s="8" t="str">
        <x:v>未限定</x:v>
      </x:c>
      <x:c r="P112" s="8" t="str">
        <x:v>未限定</x:v>
      </x:c>
      <x:c r="Q112" s="8" t="str">
        <x:v>未限定</x:v>
      </x:c>
      <x:c r="R112" s="8" t="str">
        <x:v>依据表达方法整理</x:v>
      </x:c>
      <x:c r="S112" s="8" t="str">
        <x:v>诙谐</x:v>
      </x:c>
      <x:c r="T112" s="8" t="str">
        <x:v>杯里是茶，祝福一样认真。</x:v>
      </x:c>
      <x:c r="U112" s="8" t="str">
        <x:v>I’m raising a cup of tea, with the same warm wishes.</x:v>
      </x:c>
      <x:c r="V112" s="8" t="str">
        <x:v>大家再忙，也别把自己过成勿扰模式。这杯祝咱们有事肯开口，没事也能多说两句。</x:v>
      </x:c>
      <x:c r="W112" s="8" t="str">
        <x:v>一家人平时各忙各的，别忙着忙着，就只剩下手机里的表情包了。今天这杯祝咱们有事肯开口，没事也能多聊两句，把一家人的热乎劲儿留住。</x:v>
      </x:c>
      <x:c r="X112" s="8" t="str">
        <x:v>spoken</x:v>
      </x:c>
      <x:c r="Y112" s="8" t="str">
        <x:v>fun</x:v>
      </x:c>
      <x:c r="Z112" s="8" t="str"/>
      <x:c r="AA112" s="12" t="str"/>
    </x:row>
    <x:row r="113" ht="42" customHeight="1">
      <x:c r="A113" s="9" t="str">
        <x:v>spoken-family-12</x:v>
      </x:c>
      <x:c r="B113" s="11" t="n">
        <x:v>1</x:v>
      </x:c>
      <x:c r="C113" s="9" t="str">
        <x:v>当前推荐</x:v>
      </x:c>
      <x:c r="D113" s="9" t="str">
        <x:v>家人长辈</x:v>
      </x:c>
      <x:c r="E113" s="9" t="str">
        <x:v>全桌</x:v>
      </x:c>
      <x:c r="F113" s="9" t="str">
        <x:v>幸福也可以很家常</x:v>
      </x:c>
      <x:c r="G113" s="9" t="str">
        <x:v>今天先不说什么大目标，饭香、人齐、心情好，就够咱们高兴一会儿。来，敬一家人。</x:v>
      </x:c>
      <x:c r="H113" s="9" t="str">
        <x:v>有时候把日子想得太复杂，倒忘了眼前这顿饭也挺幸福。今天我敬大家，愿咱们饭吃得香，心里少操心，平常日子也常有值得笑的事。</x:v>
      </x:c>
      <x:c r="I113" s="9" t="str">
        <x:v>Happiness can be an ordinary meal with family. Here’s to enjoying more of those moments.</x:v>
      </x:c>
      <x:c r="J113" s="9" t="str">
        <x:v>幸福也可以是一顿家常饭，愿这样的时刻多一点。</x:v>
      </x:c>
      <x:c r="K113" s="9" t="str">
        <x:v>family</x:v>
      </x:c>
      <x:c r="L113" s="9" t="str">
        <x:v>一件日常，托住一份心意</x:v>
      </x:c>
      <x:c r="M113" s="9" t="str"/>
      <x:c r="N113" s="9" t="str">
        <x:v>像平时和家人说话；不预设谁结婚、谁有孩子或谁负责做饭。</x:v>
      </x:c>
      <x:c r="O113" s="9" t="str">
        <x:v>未限定</x:v>
      </x:c>
      <x:c r="P113" s="9" t="str">
        <x:v>未限定</x:v>
      </x:c>
      <x:c r="Q113" s="9" t="str">
        <x:v>未限定</x:v>
      </x:c>
      <x:c r="R113" s="9" t="str">
        <x:v>依据表达方法整理</x:v>
      </x:c>
      <x:c r="S113" s="9" t="str">
        <x:v>诙谐</x:v>
      </x:c>
      <x:c r="T113" s="9" t="str">
        <x:v>我用茶陪大家，咱们自在就好。</x:v>
      </x:c>
      <x:c r="U113" s="9" t="str">
        <x:v>I’m raising a cup of tea, with the same warm wishes.</x:v>
      </x:c>
      <x:c r="V113" s="9" t="str">
        <x:v>今天先不说什么大目标，饭香、人齐、心情好，就够咱们高兴一会儿。来，敬一家人。</x:v>
      </x:c>
      <x:c r="W113" s="9" t="str">
        <x:v>有时候把日子想得太复杂，倒忘了眼前这顿饭也挺幸福。今天我敬大家，愿咱们饭吃得香，心里少操心，平常日子也常有值得笑的事。</x:v>
      </x:c>
      <x:c r="X113" s="9" t="str">
        <x:v>spoken</x:v>
      </x:c>
      <x:c r="Y113" s="9" t="str">
        <x:v>fun</x:v>
      </x:c>
      <x:c r="Z113" s="9" t="str"/>
      <x:c r="AA113" s="12" t="str"/>
    </x:row>
    <x:row r="114" ht="57" customHeight="1">
      <x:c r="A114" s="8" t="str">
        <x:v>verse-du-meal</x:v>
      </x:c>
      <x:c r="B114" s="10" t="n">
        <x:v>1</x:v>
      </x:c>
      <x:c r="C114" s="8" t="str">
        <x:v>当前推荐</x:v>
      </x:c>
      <x:c r="D114" s="8" t="str">
        <x:v>家人长辈</x:v>
      </x:c>
      <x:c r="E114" s="8" t="str">
        <x:v>全桌</x:v>
      </x:c>
      <x:c r="F114" s="8" t="str">
        <x:v>一顿家常，最见心意</x:v>
      </x:c>
      <x:c r="G114" s="8" t="str">
        <x:v>“夜雨翦春韭，新炊间黄粱。”让人记住一顿饭的，常常不是多贵，是有人惦记你的口味。今天敬咱们一家，愿常有热饭，也常有团圆。</x:v>
      </x:c>
      <x:c r="H114" s="8" t="str">
        <x:v>杜甫写“夜雨翦春韭，新炊间黄粱”，一顿家常饭，就把待客的心意写出来了。咱们家里也是，饭菜上桌，问一声够不够、合不合口，都是牵挂。这杯敬一家人，愿各自忙得顺当，围在一起吃得舒心，平常日子也常有团圆。</x:v>
      </x:c>
      <x:c r="I114" s="8" t="str">
        <x:v>To the care in an ordinary meal, and to a family that keeps making room for one another.</x:v>
      </x:c>
      <x:c r="J114" s="8" t="str">
        <x:v>敬家常饭里的牵挂，也愿一家人常能为彼此留出时间。</x:v>
      </x:c>
      <x:c r="K114" s="8" t="str">
        <x:v>poem-du-meal</x:v>
      </x:c>
      <x:c r="L114" s="8" t="str">
        <x:v>杜甫《赠卫八处士》</x:v>
      </x:c>
      <x:c r="M114" s="8" t="str">
        <x:v>夜雨翦春韭，新炊间黄粱。</x:v>
      </x:c>
      <x:c r="N114" s="8" t="str">
        <x:v>翦读jiǎn，通“剪”；间读jiàn，是掺入；粱读liáng。 翦通剪，间为掺入；诗中家常饭菜表达久别待客。借饭里心意，不声称现场下雨。</x:v>
      </x:c>
      <x:c r="O114" s="8" t="str">
        <x:v>邀饮待客、团圆相聚、夜晚小酌</x:v>
      </x:c>
      <x:c r="P114" s="8" t="str">
        <x:v>未限定</x:v>
      </x:c>
      <x:c r="Q114" s="8" t="str">
        <x:v>未限定</x:v>
      </x:c>
      <x:c r="R114" s="8" t="str">
        <x:v>引句后整理</x:v>
      </x:c>
      <x:c r="S114" s="8" t="str">
        <x:v>雅致</x:v>
      </x:c>
      <x:c r="T114" s="8" t="str">
        <x:v>我以茶代酒，心意一样。</x:v>
      </x:c>
      <x:c r="U114" s="8" t="str">
        <x:v>With tea in my cup and the same warm wishes.</x:v>
      </x:c>
      <x:c r="V114" s="8" t="str">
        <x:v>“夜雨翦春韭，新炊间黄粱。”让人记住一顿饭的，常常不是多贵，是有人惦记你的口味。今天敬咱们一家，愿常有热饭，也常有团圆。</x:v>
      </x:c>
      <x:c r="W114" s="8" t="str">
        <x:v>杜甫写“夜雨翦春韭，新炊间黄粱”，一顿家常饭，就把待客的心意写出来了。咱们家里也是，饭菜上桌，问一声够不够、合不合口，都是牵挂。这杯敬一家人，愿各自忙得顺当，围在一起吃得舒心，平常日子也常有团圆。</x:v>
      </x:c>
      <x:c r="X114" s="8" t="str">
        <x:v>spoken</x:v>
      </x:c>
      <x:c r="Y114" s="8" t="str">
        <x:v>verse</x:v>
      </x:c>
      <x:c r="Z114" s="8" t="str"/>
      <x:c r="AA114" s="12" t="str"/>
    </x:row>
    <x:row r="115" ht="57" customHeight="1">
      <x:c r="A115" s="9" t="str">
        <x:v>verse-du-ninth</x:v>
      </x:c>
      <x:c r="B115" s="11" t="n">
        <x:v>1</x:v>
      </x:c>
      <x:c r="C115" s="9" t="str">
        <x:v>当前推荐</x:v>
      </x:c>
      <x:c r="D115" s="9" t="str">
        <x:v>家人长辈</x:v>
      </x:c>
      <x:c r="E115" s="9" t="str">
        <x:v>全桌</x:v>
      </x:c>
      <x:c r="F115" s="9" t="str">
        <x:v>重阳，把笑声留在家里</x:v>
      </x:c>
      <x:c r="G115" s="9" t="str">
        <x:v>“尘世难逢开口笑，菊花须插满头归。”今天重阳，借古人的好兴致，祝咱们一家多些笑声，少些操心；平常常惦记，有空多团聚。</x:v>
      </x:c>
      <x:c r="H115" s="9" t="str">
        <x:v>杜牧重阳登高，写“尘世难逢开口笑，菊花须插满头归。”。今天咱们借这份好兴致，不一定登高插菊，能陪着家人吃顿饭、说几句，也很好。这杯祝大家安康顺心，忙时有人体谅，闲时有人相伴，把笑声多留一点在家里。</x:v>
      </x:c>
      <x:c r="I115" s="9" t="str">
        <x:v>On the Double Ninth Festival, to our family’s health, shared laughter, and time together.</x:v>
      </x:c>
      <x:c r="J115" s="9" t="str">
        <x:v>重阳祝一家安康，愿笑声多些，相聚多些。</x:v>
      </x:c>
      <x:c r="K115" s="9" t="str">
        <x:v>poem-du-ninth</x:v>
      </x:c>
      <x:c r="L115" s="9" t="str">
        <x:v>杜牧《九日齐山登高》</x:v>
      </x:c>
      <x:c r="M115" s="9" t="str">
        <x:v>尘世难逢开口笑，菊花须插满头归。</x:v>
      </x:c>
      <x:c r="N115" s="9" t="str">
        <x:v>原诗重阳登高自宽，兼有时光感慨；只借开怀与珍惜，不沿用酩酊要求。</x:v>
      </x:c>
      <x:c r="O115" s="9" t="str">
        <x:v>团圆相聚、好友知己</x:v>
      </x:c>
      <x:c r="P115" s="9" t="str">
        <x:v>未限定</x:v>
      </x:c>
      <x:c r="Q115" s="9" t="str">
        <x:v>重阳</x:v>
      </x:c>
      <x:c r="R115" s="9" t="str">
        <x:v>引句后整理</x:v>
      </x:c>
      <x:c r="S115" s="9" t="str">
        <x:v>雅致</x:v>
      </x:c>
      <x:c r="T115" s="9" t="str">
        <x:v>我以茶代酒，心意一样。</x:v>
      </x:c>
      <x:c r="U115" s="9" t="str">
        <x:v>With tea in my cup and the same warm wishes.</x:v>
      </x:c>
      <x:c r="V115" s="9" t="str">
        <x:v>“尘世难逢开口笑，菊花须插满头归。”今天重阳，借古人的好兴致，祝咱们一家多些笑声，少些操心；平常常惦记，有空多团聚。</x:v>
      </x:c>
      <x:c r="W115" s="9" t="str">
        <x:v>杜牧重阳登高，写“尘世难逢开口笑，菊花须插满头归。”。今天咱们借这份好兴致，不一定登高插菊，能陪着家人吃顿饭、说几句，也很好。这杯祝大家安康顺心，忙时有人体谅，闲时有人相伴，把笑声多留一点在家里。</x:v>
      </x:c>
      <x:c r="X115" s="9" t="str">
        <x:v>spoken</x:v>
      </x:c>
      <x:c r="Y115" s="9" t="str">
        <x:v>verse</x:v>
      </x:c>
      <x:c r="Z115" s="9" t="str"/>
      <x:c r="AA115" s="12" t="str"/>
    </x:row>
    <x:row r="116" ht="57" customHeight="1">
      <x:c r="A116" s="8" t="str">
        <x:v>verse-su-midautumn</x:v>
      </x:c>
      <x:c r="B116" s="10" t="n">
        <x:v>1</x:v>
      </x:c>
      <x:c r="C116" s="8" t="str">
        <x:v>当前推荐</x:v>
      </x:c>
      <x:c r="D116" s="8" t="str">
        <x:v>家人长辈</x:v>
      </x:c>
      <x:c r="E116" s="8" t="str">
        <x:v>全桌</x:v>
      </x:c>
      <x:c r="F116" s="8" t="str">
        <x:v>中秋团圆，珍惜眼前</x:v>
      </x:c>
      <x:c r="G116" s="8" t="str">
        <x:v>“暮云收尽溢清寒，银汉无声转玉盘。”今天中秋，借这份月圆的好意，祝咱们一家平安有伴，见面有笑，牵挂常通。</x:v>
      </x:c>
      <x:c r="H116" s="8" t="str">
        <x:v>“暮云收尽溢清寒，银汉无声转玉盘。”苏轼把中秋月色写得很美。今天不论窗外能不能看见月亮，这一桌团圆都很实在。这杯敬咱们一家，愿忙时彼此惦记，闲时常能相聚；月圆是好意头，人安、家暖，才是最好的中秋。</x:v>
      </x:c>
      <x:c r="I116" s="8" t="str">
        <x:v>Whether or not the moon is visible, being together makes Mid-Autumn special. To a peaceful family and a warm home.</x:v>
      </x:c>
      <x:c r="J116" s="8" t="str">
        <x:v>不论是否见月，同桌相聚就是好中秋，祝家人平安、家中温暖。</x:v>
      </x:c>
      <x:c r="K116" s="8" t="str">
        <x:v>poem-su-midautumn</x:v>
      </x:c>
      <x:c r="L116" s="8" t="str">
        <x:v>苏轼《阳关曲·中秋月》</x:v>
      </x:c>
      <x:c r="M116" s="8" t="str">
        <x:v>暮云收尽溢清寒，银汉无声转玉盘。</x:v>
      </x:c>
      <x:c r="N116" s="8" t="str">
        <x:v>原词中秋赏月，后半有好景难常的感慨；借珍惜团圆，不把云开见月当作现场天气。</x:v>
      </x:c>
      <x:c r="O116" s="8" t="str">
        <x:v>月色入杯、夜晚小酌、邀饮待客、团圆相聚</x:v>
      </x:c>
      <x:c r="P116" s="8" t="str">
        <x:v>未限定</x:v>
      </x:c>
      <x:c r="Q116" s="8" t="str">
        <x:v>中秋</x:v>
      </x:c>
      <x:c r="R116" s="8" t="str">
        <x:v>引句后整理</x:v>
      </x:c>
      <x:c r="S116" s="8" t="str">
        <x:v>雅致</x:v>
      </x:c>
      <x:c r="T116" s="8" t="str">
        <x:v>我以茶代酒，心意一样。</x:v>
      </x:c>
      <x:c r="U116" s="8" t="str">
        <x:v>With tea in my cup and the same warm wishes.</x:v>
      </x:c>
      <x:c r="V116" s="8" t="str">
        <x:v>“暮云收尽溢清寒，银汉无声转玉盘。”今天中秋，借这份月圆的好意，祝咱们一家平安有伴，见面有笑，牵挂常通。</x:v>
      </x:c>
      <x:c r="W116" s="8" t="str">
        <x:v>“暮云收尽溢清寒，银汉无声转玉盘。”苏轼把中秋月色写得很美。今天不论窗外能不能看见月亮，这一桌团圆都很实在。这杯敬咱们一家，愿忙时彼此惦记，闲时常能相聚；月圆是好意头，人安、家暖，才是最好的中秋。</x:v>
      </x:c>
      <x:c r="X116" s="8" t="str">
        <x:v>spoken</x:v>
      </x:c>
      <x:c r="Y116" s="8" t="str">
        <x:v>verse</x:v>
      </x:c>
      <x:c r="Z116" s="8" t="str"/>
      <x:c r="AA116" s="12" t="str"/>
    </x:row>
    <x:row r="117" ht="57" customHeight="1">
      <x:c r="A117" s="9" t="str">
        <x:v>verse-su-tea</x:v>
      </x:c>
      <x:c r="B117" s="11" t="n">
        <x:v>1</x:v>
      </x:c>
      <x:c r="C117" s="9" t="str">
        <x:v>当前推荐</x:v>
      </x:c>
      <x:c r="D117" s="9" t="str">
        <x:v>家人长辈</x:v>
      </x:c>
      <x:c r="E117" s="9" t="str">
        <x:v>全桌</x:v>
      </x:c>
      <x:c r="F117" s="9" t="str">
        <x:v>茶里有清趣，家常有滋味</x:v>
      </x:c>
      <x:c r="G117" s="9" t="str">
        <x:v>“雪沫乳花浮午盏”，苏轼写的是一盏茶。今天咱们也把平常的一顿饭吃得有滋味，祝一家人忙得顺，坐得闲，心里暖。</x:v>
      </x:c>
      <x:c r="H117" s="9" t="str">
        <x:v>苏轼写一盏茶，说“雪沫乳花浮午盏”，连茶沫都写得有兴致。日子的滋味，有时就在这些小事里：饭菜合口，家人同桌，能慢慢说几句。这杯敬咱们一家，愿平常有牵挂，相聚有笑声，日子越过越舒心。</x:v>
      </x:c>
      <x:c r="I117" s="9" t="str">
        <x:v>To the small pleasures in an ordinary day: a warm cup, a good meal, and our family around the table.</x:v>
      </x:c>
      <x:c r="J117" s="9" t="str">
        <x:v>敬平常日子里的小欢喜，也敬一家人同桌相伴。</x:v>
      </x:c>
      <x:c r="K117" s="9" t="str">
        <x:v>poem-su-tea</x:v>
      </x:c>
      <x:c r="L117" s="9" t="str">
        <x:v>苏轼《浣溪沙·细雨斜风作晓寒》</x:v>
      </x:c>
      <x:c r="M117" s="9" t="str">
        <x:v>雪沫乳花浮午盏</x:v>
      </x:c>
      <x:c r="N117" s="9" t="str">
        <x:v>雪沫乳花是点茶时的白沫，并非下雪或牛奶；后文春盘有蓼芽／蓼茸异文，本条不引该处。</x:v>
      </x:c>
      <x:c r="O117" s="9" t="str">
        <x:v>邀饮待客、团圆相聚</x:v>
      </x:c>
      <x:c r="P117" s="9" t="str">
        <x:v>未限定</x:v>
      </x:c>
      <x:c r="Q117" s="9" t="str">
        <x:v>未限定</x:v>
      </x:c>
      <x:c r="R117" s="9" t="str">
        <x:v>引句后整理</x:v>
      </x:c>
      <x:c r="S117" s="9" t="str">
        <x:v>雅致</x:v>
      </x:c>
      <x:c r="T117" s="9" t="str">
        <x:v>我以茶代酒，心意一样。</x:v>
      </x:c>
      <x:c r="U117" s="9" t="str">
        <x:v>With tea in my cup and the same warm wishes.</x:v>
      </x:c>
      <x:c r="V117" s="9" t="str">
        <x:v>“雪沫乳花浮午盏”，苏轼写的是一盏茶。今天咱们也把平常的一顿饭吃得有滋味，祝一家人忙得顺，坐得闲，心里暖。</x:v>
      </x:c>
      <x:c r="W117" s="9" t="str">
        <x:v>苏轼写一盏茶，说“雪沫乳花浮午盏”，连茶沫都写得有兴致。日子的滋味，有时就在这些小事里：饭菜合口，家人同桌，能慢慢说几句。这杯敬咱们一家，愿平常有牵挂，相聚有笑声，日子越过越舒心。</x:v>
      </x:c>
      <x:c r="X117" s="9" t="str">
        <x:v>spoken</x:v>
      </x:c>
      <x:c r="Y117" s="9" t="str">
        <x:v>verse</x:v>
      </x:c>
      <x:c r="Z117" s="9" t="str"/>
      <x:c r="AA117" s="12" t="str"/>
    </x:row>
    <x:row r="118" ht="57" customHeight="1">
      <x:c r="A118" s="8" t="str">
        <x:v>farewell-01</x:v>
      </x:c>
      <x:c r="B118" s="10" t="n">
        <x:v>1</x:v>
      </x:c>
      <x:c r="C118" s="8" t="str">
        <x:v>当前推荐</x:v>
      </x:c>
      <x:c r="D118" s="8" t="str">
        <x:v>送别珍重</x:v>
      </x:c>
      <x:c r="E118" s="8" t="str">
        <x:v>全桌</x:v>
      </x:c>
      <x:c r="F118" s="8" t="str">
        <x:v>山水有程，相见有期</x:v>
      </x:c>
      <x:c r="G118" s="8" t="str">
        <x:v>山水有程，相见有期；愿此去一路顺遂，往后常有好音。
借这一杯，敬大家。</x:v>
      </x:c>
      <x:c r="H118" s="8" t="str">
        <x:v>今天这一杯，有惜别，也有祝愿。愿此去一路顺遂，遇事从容，遇人温暖。山水有程，相见有期；等下次同席，再把新的故事慢慢讲给彼此听。
借这一杯，敬大家。</x:v>
      </x:c>
      <x:c r="I118" s="8" t="str">
        <x:v>Safe travels, good people along the way, and stories to share when we meet again.</x:v>
      </x:c>
      <x:c r="J118" s="8" t="str">
        <x:v>祝旅途平安、路遇良人，再见时有故事可讲。</x:v>
      </x:c>
      <x:c r="K118" s="8" t="str">
        <x:v>farewell</x:v>
      </x:c>
      <x:c r="L118" s="8" t="str">
        <x:v>送行有惜别，也有祝愿</x:v>
      </x:c>
      <x:c r="M118" s="8" t="str"/>
      <x:c r="N118" s="8" t="str">
        <x:v>适合普通送行，不预设退休、永久离别或目的地。</x:v>
      </x:c>
      <x:c r="O118" s="8" t="str">
        <x:v>未限定</x:v>
      </x:c>
      <x:c r="P118" s="8" t="str">
        <x:v>未限定</x:v>
      </x:c>
      <x:c r="Q118" s="8" t="str">
        <x:v>未限定</x:v>
      </x:c>
      <x:c r="R118" s="8" t="str">
        <x:v>依据表达方法整理</x:v>
      </x:c>
      <x:c r="S118" s="8" t="str">
        <x:v>雅致</x:v>
      </x:c>
      <x:c r="T118" s="8" t="str"/>
      <x:c r="U118" s="8" t="str"/>
      <x:c r="V118" s="8" t="str">
        <x:v>山水有程，相见有期；愿此去一路顺遂，往后常有好音。</x:v>
      </x:c>
      <x:c r="W118" s="8" t="str">
        <x:v>今天这一杯，有惜别，也有祝愿。愿此去一路顺遂，遇事从容，遇人温暖。山水有程，相见有期；等下次同席，再把新的故事慢慢讲给彼此听。</x:v>
      </x:c>
      <x:c r="X118" s="8" t="str"/>
      <x:c r="Y118" s="8" t="str"/>
      <x:c r="Z118" s="8" t="str"/>
      <x:c r="AA118" s="12" t="str"/>
    </x:row>
    <x:row r="119" ht="57" customHeight="1">
      <x:c r="A119" s="9" t="str">
        <x:v>farewell-02</x:v>
      </x:c>
      <x:c r="B119" s="11" t="n">
        <x:v>1</x:v>
      </x:c>
      <x:c r="C119" s="9" t="str">
        <x:v>当前推荐</x:v>
      </x:c>
      <x:c r="D119" s="9" t="str">
        <x:v>送别珍重</x:v>
      </x:c>
      <x:c r="E119" s="9" t="str">
        <x:v>全桌</x:v>
      </x:c>
      <x:c r="F119" s="9" t="str">
        <x:v>把珍重放进杯里</x:v>
      </x:c>
      <x:c r="G119" s="9" t="str">
        <x:v>把珍重放进杯里，把祝愿送到路上；愿你向前有光，回首有暖。
借这一杯，敬大家。</x:v>
      </x:c>
      <x:c r="H119" s="9" t="str">
        <x:v>有些珍重，说得轻，放在心里却很重。今天借这一杯，祝你此去顺意，前路从容。愿向前有光，回首有暖；既有新的风景，也记得我们随时欢迎你回来坐坐。
借这一杯，敬大家。</x:v>
      </x:c>
      <x:c r="I119" s="9" t="str">
        <x:v>May the road ahead be kind, and may you always feel welcome here.</x:v>
      </x:c>
      <x:c r="J119" s="9" t="str">
        <x:v>愿前路温柔，也愿你一直感受到这里的欢迎。</x:v>
      </x:c>
      <x:c r="K119" s="9" t="str">
        <x:v>farewell</x:v>
      </x:c>
      <x:c r="L119" s="9" t="str">
        <x:v>送行有惜别，也有祝愿</x:v>
      </x:c>
      <x:c r="M119" s="9" t="str"/>
      <x:c r="N119" s="9" t="str">
        <x:v>熟朋友送行，语气温和，不当返乡义务。</x:v>
      </x:c>
      <x:c r="O119" s="9" t="str">
        <x:v>未限定</x:v>
      </x:c>
      <x:c r="P119" s="9" t="str">
        <x:v>未限定</x:v>
      </x:c>
      <x:c r="Q119" s="9" t="str">
        <x:v>未限定</x:v>
      </x:c>
      <x:c r="R119" s="9" t="str">
        <x:v>依据表达方法整理</x:v>
      </x:c>
      <x:c r="S119" s="9" t="str">
        <x:v>雅致</x:v>
      </x:c>
      <x:c r="T119" s="9" t="str"/>
      <x:c r="U119" s="9" t="str"/>
      <x:c r="V119" s="9" t="str">
        <x:v>把珍重放进杯里，把祝愿送到路上；愿你向前有光，回首有暖。</x:v>
      </x:c>
      <x:c r="W119" s="9" t="str">
        <x:v>有些珍重，说得轻，放在心里却很重。今天借这一杯，祝你此去顺意，前路从容。愿向前有光，回首有暖；既有新的风景，也记得我们随时欢迎你回来坐坐。</x:v>
      </x:c>
      <x:c r="X119" s="9" t="str"/>
      <x:c r="Y119" s="9" t="str"/>
      <x:c r="Z119" s="9" t="str"/>
      <x:c r="AA119" s="12" t="str"/>
    </x:row>
    <x:row r="120" ht="57" customHeight="1">
      <x:c r="A120" s="8" t="str">
        <x:v>farewell-03</x:v>
      </x:c>
      <x:c r="B120" s="10" t="n">
        <x:v>1</x:v>
      </x:c>
      <x:c r="C120" s="8" t="str">
        <x:v>当前推荐</x:v>
      </x:c>
      <x:c r="D120" s="8" t="str">
        <x:v>送别珍重</x:v>
      </x:c>
      <x:c r="E120" s="8" t="str">
        <x:v>全桌</x:v>
      </x:c>
      <x:c r="F120" s="8" t="str">
        <x:v>下次带故事回来</x:v>
      </x:c>
      <x:c r="G120" s="8" t="str">
        <x:v>行李装好，祝福带上；下次见面，记得带些新故事回来。
借这一杯，敬大家。</x:v>
      </x:c>
      <x:c r="H120" s="8" t="str">
        <x:v>行李你来装，祝福我们来送。愿这一路少些波折，多些顺意；忙有所得，闲有新景。今天先敬你一杯，下次见面，带些新故事回来，我们再慢慢听。
借这一杯，敬大家。</x:v>
      </x:c>
      <x:c r="I120" s="8" t="str">
        <x:v>Pack our good wishes too. We look forward to hearing your new stories.</x:v>
      </x:c>
      <x:c r="J120" s="8" t="str">
        <x:v>也把祝愿带上，盼下次听你的新故事。</x:v>
      </x:c>
      <x:c r="K120" s="8" t="str">
        <x:v>farewell</x:v>
      </x:c>
      <x:c r="L120" s="8" t="str">
        <x:v>送行有惜别，也有祝愿</x:v>
      </x:c>
      <x:c r="M120" s="8" t="str"/>
      <x:c r="N120" s="8" t="str">
        <x:v>朋友间轻松送行，不安排实际饮量。</x:v>
      </x:c>
      <x:c r="O120" s="8" t="str">
        <x:v>未限定</x:v>
      </x:c>
      <x:c r="P120" s="8" t="str">
        <x:v>未限定</x:v>
      </x:c>
      <x:c r="Q120" s="8" t="str">
        <x:v>未限定</x:v>
      </x:c>
      <x:c r="R120" s="8" t="str">
        <x:v>依据表达方法整理</x:v>
      </x:c>
      <x:c r="S120" s="8" t="str">
        <x:v>诙谐</x:v>
      </x:c>
      <x:c r="T120" s="8" t="str"/>
      <x:c r="U120" s="8" t="str"/>
      <x:c r="V120" s="8" t="str">
        <x:v>行李装好，祝福带上；下次见面，记得带些新故事回来。</x:v>
      </x:c>
      <x:c r="W120" s="8" t="str">
        <x:v>行李你来装，祝福我们来送。愿这一路少些波折，多些顺意；忙有所得，闲有新景。今天先敬你一杯，下次见面，带些新故事回来，我们再慢慢听。</x:v>
      </x:c>
      <x:c r="X120" s="8" t="str"/>
      <x:c r="Y120" s="8" t="str"/>
      <x:c r="Z120" s="8" t="str"/>
      <x:c r="AA120" s="12" t="str"/>
    </x:row>
    <x:row r="121" ht="57" customHeight="1">
      <x:c r="A121" s="9" t="str">
        <x:v>farewell-verse-03</x:v>
      </x:c>
      <x:c r="B121" s="11" t="n">
        <x:v>1</x:v>
      </x:c>
      <x:c r="C121" s="9" t="str">
        <x:v>当前推荐</x:v>
      </x:c>
      <x:c r="D121" s="9" t="str">
        <x:v>送别珍重</x:v>
      </x:c>
      <x:c r="E121" s="9" t="str">
        <x:v>全桌</x:v>
      </x:c>
      <x:c r="F121" s="9" t="str">
        <x:v>万里尚为邻</x:v>
      </x:c>
      <x:c r="G121" s="9" t="str">
        <x:v>“相知无远近，万里尚为邻。”愿一路顺意，心意常通。
借这一杯，敬大家。</x:v>
      </x:c>
      <x:c r="H121" s="9" t="str">
        <x:v>张九龄说“相知无远近，万里尚为邻”。今天借这一杯，愿你的新一程有收获，也有从容。山水有距离，牵挂有回响；往后各自忙碌，也记得有空说说近况。
借这一杯，敬大家。</x:v>
      </x:c>
      <x:c r="I121" s="9" t="str">
        <x:v>To a rewarding new chapter and a friendship that stays close across the miles.</x:v>
      </x:c>
      <x:c r="J121" s="9" t="str">
        <x:v>祝新的旅程有收获，也愿情谊不因距离疏远。</x:v>
      </x:c>
      <x:c r="K121" s="9" t="str">
        <x:v>zhang</x:v>
      </x:c>
      <x:c r="L121" s="9" t="str">
        <x:v>张九龄《送韦城李少府》</x:v>
      </x:c>
      <x:c r="M121" s="9" t="str">
        <x:v>相知无远近，万里尚为邻。</x:v>
      </x:c>
      <x:c r="N121" s="9" t="str">
        <x:v>熟朋友送行，不强求联系频率。</x:v>
      </x:c>
      <x:c r="O121" s="9" t="str">
        <x:v>未限定</x:v>
      </x:c>
      <x:c r="P121" s="9" t="str">
        <x:v>未限定</x:v>
      </x:c>
      <x:c r="Q121" s="9" t="str">
        <x:v>未限定</x:v>
      </x:c>
      <x:c r="R121" s="9" t="str">
        <x:v>引句后整理</x:v>
      </x:c>
      <x:c r="S121" s="9" t="str">
        <x:v>雅致</x:v>
      </x:c>
      <x:c r="T121" s="9" t="str"/>
      <x:c r="U121" s="9" t="str"/>
      <x:c r="V121" s="9" t="str">
        <x:v>“相知无远近，万里尚为邻。”愿一路顺意，心意常通。</x:v>
      </x:c>
      <x:c r="W121" s="9" t="str">
        <x:v>张九龄说“相知无远近，万里尚为邻”。今天借这一杯，愿你的新一程有收获，也有从容。山水有距离，牵挂有回响；往后各自忙碌，也记得有空说说近况。</x:v>
      </x:c>
      <x:c r="X121" s="9" t="str"/>
      <x:c r="Y121" s="9" t="str"/>
      <x:c r="Z121" s="9" t="str"/>
      <x:c r="AA121" s="12" t="str"/>
    </x:row>
    <x:row r="122" ht="57" customHeight="1">
      <x:c r="A122" s="8" t="str">
        <x:v>r04-ci-01-1</x:v>
      </x:c>
      <x:c r="B122" s="10" t="n">
        <x:v>1</x:v>
      </x:c>
      <x:c r="C122" s="8" t="str">
        <x:v>当前推荐</x:v>
      </x:c>
      <x:c r="D122" s="8" t="str">
        <x:v>送别珍重</x:v>
      </x:c>
      <x:c r="E122" s="8" t="str">
        <x:v>全桌</x:v>
      </x:c>
      <x:c r="F122" s="8" t="str">
        <x:v>把春意留在身边</x:v>
      </x:c>
      <x:c r="G122" s="8" t="str">
        <x:v>王观在《卜算子·送鲍浩然之浙东》里写道：“若到江南赶上春，千万和春住。”借王观的心意送你，往后不论走到哪里，愿有让你愿意停一停的好风景，也有惦记你的人。</x:v>
      </x:c>
      <x:c r="H122" s="8" t="str">
        <x:v>王观在《卜算子·送鲍浩然之浙东》里写道：“若到江南赶上春，千万和春住。”借王观的心意送你，往后不论走到哪里，愿有让你愿意停一停的好风景，也有惦记你的人。
这杯敬你，愿一路顺当，有空常报平安。</x:v>
      </x:c>
      <x:c r="I122" s="8" t="str">
        <x:v>To a good journey, with fresh possibilities and a place to feel at home.</x:v>
      </x:c>
      <x:c r="J122" s="8" t="str">
        <x:v>愿旅途有新机会，也有安心的地方。</x:v>
      </x:c>
      <x:c r="K122" s="8" t="str">
        <x:v>r04-ci-01</x:v>
      </x:c>
      <x:c r="L122" s="8" t="str">
        <x:v>王观《卜算子·送鲍浩然之浙东》</x:v>
      </x:c>
      <x:c r="M122" s="8" t="str">
        <x:v>若到江南赶上春，千万和春住。</x:v>
      </x:c>
      <x:c r="N122" s="8" t="str">
        <x:v>送别词把江南山水与惜春相连；祝前路有好景，不预设目的地就是江南。</x:v>
      </x:c>
      <x:c r="O122" s="8" t="str">
        <x:v>随席取意</x:v>
      </x:c>
      <x:c r="P122" s="8" t="str">
        <x:v>未限定</x:v>
      </x:c>
      <x:c r="Q122" s="8" t="str">
        <x:v>未限定</x:v>
      </x:c>
      <x:c r="R122" s="8" t="str">
        <x:v>引句后整理</x:v>
      </x:c>
      <x:c r="S122" s="8" t="str">
        <x:v>雅致</x:v>
      </x:c>
      <x:c r="T122" s="8" t="str">
        <x:v>我以茶代酒，心意一样真。</x:v>
      </x:c>
      <x:c r="U122" s="8" t="str">
        <x:v>With tea in my cup and the same warm wishes.</x:v>
      </x:c>
      <x:c r="V122" s="8" t="str">
        <x:v>王观在《卜算子·送鲍浩然之浙东》里写道：“若到江南赶上春，千万和春住。”借王观的心意送你，往后不论走到哪里，愿有让你愿意停一停的好风景，也有惦记你的人。</x:v>
      </x:c>
      <x:c r="W122" s="8" t="str">
        <x:v>王观在《卜算子·送鲍浩然之浙东》里写道：“若到江南赶上春，千万和春住。”借王观的心意送你，往后不论走到哪里，愿有让你愿意停一停的好风景，也有惦记你的人。
这杯敬你，愿一路顺当，有空常报平安。</x:v>
      </x:c>
      <x:c r="X122" s="8" t="str">
        <x:v>spoken</x:v>
      </x:c>
      <x:c r="Y122" s="8" t="str">
        <x:v>verse-0</x:v>
      </x:c>
      <x:c r="Z122" s="8" t="str"/>
      <x:c r="AA122" s="12" t="str"/>
    </x:row>
    <x:row r="123" ht="57" customHeight="1">
      <x:c r="A123" s="9" t="str">
        <x:v>r04-ci-05-1</x:v>
      </x:c>
      <x:c r="B123" s="11" t="n">
        <x:v>1</x:v>
      </x:c>
      <x:c r="C123" s="9" t="str">
        <x:v>当前推荐</x:v>
      </x:c>
      <x:c r="D123" s="9" t="str">
        <x:v>送别珍重</x:v>
      </x:c>
      <x:c r="E123" s="9" t="str">
        <x:v>全桌</x:v>
      </x:c>
      <x:c r="F123" s="9" t="str">
        <x:v>送行不说尽</x:v>
      </x:c>
      <x:c r="G123" s="9" t="str">
        <x:v>借苏轼的一句：“飞絮送行舟，水东流。”词里的飞絮送行舟，我今天借这点惜别敬你。路上照顾好自己，到了报个平安，往后的近况，咱们慢慢说。</x:v>
      </x:c>
      <x:c r="H123" s="9" t="str">
        <x:v>借苏轼的一句：“飞絮送行舟，水东流。”词里的飞絮送行舟，我今天借这点惜别敬你。路上照顾好自己，到了报个平安，往后的近况，咱们慢慢说。
这杯敬你，愿一路顺当，有空常报平安。</x:v>
      </x:c>
      <x:c r="I123" s="9" t="str">
        <x:v>To a farewell filled with care, and to hearing from you soon.</x:v>
      </x:c>
      <x:c r="J123" s="9" t="str">
        <x:v>珍重送别，也盼不久再听到你的消息。</x:v>
      </x:c>
      <x:c r="K123" s="9" t="str">
        <x:v>r04-ci-05</x:v>
      </x:c>
      <x:c r="L123" s="9" t="str">
        <x:v>苏轼《昭君怨·金山送柳子玉》</x:v>
      </x:c>
      <x:c r="M123" s="9" t="str">
        <x:v>飞絮送行舟，水东流。</x:v>
      </x:c>
      <x:c r="N123" s="9" t="str">
        <x:v>借笛声与飞絮写送别，桓伊三弄为用典；不声称今天有笛或行舟。</x:v>
      </x:c>
      <x:c r="O123" s="9" t="str">
        <x:v>随席取意</x:v>
      </x:c>
      <x:c r="P123" s="9" t="str">
        <x:v>未限定</x:v>
      </x:c>
      <x:c r="Q123" s="9" t="str">
        <x:v>未限定</x:v>
      </x:c>
      <x:c r="R123" s="9" t="str">
        <x:v>引句后整理</x:v>
      </x:c>
      <x:c r="S123" s="9" t="str">
        <x:v>雅致</x:v>
      </x:c>
      <x:c r="T123" s="9" t="str">
        <x:v>我以茶代酒，心意一样真。</x:v>
      </x:c>
      <x:c r="U123" s="9" t="str">
        <x:v>With tea in my cup and the same warm wishes.</x:v>
      </x:c>
      <x:c r="V123" s="9" t="str">
        <x:v>借苏轼的一句：“飞絮送行舟，水东流。”词里的飞絮送行舟，我今天借这点惜别敬你。路上照顾好自己，到了报个平安，往后的近况，咱们慢慢说。</x:v>
      </x:c>
      <x:c r="W123" s="9" t="str">
        <x:v>借苏轼的一句：“飞絮送行舟，水东流。”词里的飞絮送行舟，我今天借这点惜别敬你。路上照顾好自己，到了报个平安，往后的近况，咱们慢慢说。
这杯敬你，愿一路顺当，有空常报平安。</x:v>
      </x:c>
      <x:c r="X123" s="9" t="str">
        <x:v>spoken</x:v>
      </x:c>
      <x:c r="Y123" s="9" t="str">
        <x:v>verse-0</x:v>
      </x:c>
      <x:c r="Z123" s="9" t="str"/>
      <x:c r="AA123" s="12" t="str"/>
    </x:row>
    <x:row r="124" ht="57" customHeight="1">
      <x:c r="A124" s="8" t="str">
        <x:v>r04-ci-06-1</x:v>
      </x:c>
      <x:c r="B124" s="10" t="n">
        <x:v>1</x:v>
      </x:c>
      <x:c r="C124" s="8" t="str">
        <x:v>当前推荐</x:v>
      </x:c>
      <x:c r="D124" s="8" t="str">
        <x:v>送别珍重</x:v>
      </x:c>
      <x:c r="E124" s="8" t="str">
        <x:v>全桌</x:v>
      </x:c>
      <x:c r="F124" s="8" t="str">
        <x:v>路远也有人念</x:v>
      </x:c>
      <x:c r="G124" s="8" t="str">
        <x:v>苏轼写过：“轻云微月”苏轼写远行，也写想家。今天借这几个字送你，愿路上有好风景，心里有安稳处，累了也有人可说。</x:v>
      </x:c>
      <x:c r="H124" s="8" t="str">
        <x:v>苏轼写过：“轻云微月”苏轼写远行，也写想家。今天借这几个字送你，愿路上有好风景，心里有安稳处，累了也有人可说。
这杯敬你，愿一路顺当，有空常报平安。</x:v>
      </x:c>
      <x:c r="I124" s="8" t="str">
        <x:v>To a warm place to return to, wherever life takes us.</x:v>
      </x:c>
      <x:c r="J124" s="8" t="str">
        <x:v>不论走到哪里，愿都有温暖的归处。</x:v>
      </x:c>
      <x:c r="K124" s="8" t="str">
        <x:v>r04-ci-06</x:v>
      </x:c>
      <x:c r="L124" s="8" t="str">
        <x:v>苏轼《醉落魄·离京口作》</x:v>
      </x:c>
      <x:c r="M124" s="8" t="str">
        <x:v>轻云微月</x:v>
      </x:c>
      <x:c r="N124" s="8" t="str">
        <x:v>行旅夜归与思家，不把漂泊愁绪改说成原词庆功。</x:v>
      </x:c>
      <x:c r="O124" s="8" t="str">
        <x:v>随席取意、月色入杯、夜晚小酌</x:v>
      </x:c>
      <x:c r="P124" s="8" t="str">
        <x:v>未限定</x:v>
      </x:c>
      <x:c r="Q124" s="8" t="str">
        <x:v>未限定</x:v>
      </x:c>
      <x:c r="R124" s="8" t="str">
        <x:v>引句后整理</x:v>
      </x:c>
      <x:c r="S124" s="8" t="str">
        <x:v>雅致</x:v>
      </x:c>
      <x:c r="T124" s="8" t="str">
        <x:v>我以茶代酒，心意一样真。</x:v>
      </x:c>
      <x:c r="U124" s="8" t="str">
        <x:v>With tea in my cup and the same warm wishes.</x:v>
      </x:c>
      <x:c r="V124" s="8" t="str">
        <x:v>苏轼写过：“轻云微月”苏轼写远行，也写想家。今天借这几个字送你，愿路上有好风景，心里有安稳处，累了也有人可说。</x:v>
      </x:c>
      <x:c r="W124" s="8" t="str">
        <x:v>苏轼写过：“轻云微月”苏轼写远行，也写想家。今天借这几个字送你，愿路上有好风景，心里有安稳处，累了也有人可说。
这杯敬你，愿一路顺当，有空常报平安。</x:v>
      </x:c>
      <x:c r="X124" s="8" t="str">
        <x:v>spoken</x:v>
      </x:c>
      <x:c r="Y124" s="8" t="str">
        <x:v>verse-1</x:v>
      </x:c>
      <x:c r="Z124" s="8" t="str"/>
      <x:c r="AA124" s="12" t="str"/>
    </x:row>
    <x:row r="125" ht="57" customHeight="1">
      <x:c r="A125" s="9" t="str">
        <x:v>r04-ci-07-1</x:v>
      </x:c>
      <x:c r="B125" s="11" t="n">
        <x:v>1</x:v>
      </x:c>
      <x:c r="C125" s="9" t="str">
        <x:v>当前推荐</x:v>
      </x:c>
      <x:c r="D125" s="9" t="str">
        <x:v>送别珍重</x:v>
      </x:c>
      <x:c r="E125" s="9" t="str">
        <x:v>全桌</x:v>
      </x:c>
      <x:c r="F125" s="9" t="str">
        <x:v>把珍重送上路</x:v>
      </x:c>
      <x:c r="G125" s="9" t="str">
        <x:v>苏轼在《南乡子·送述古》里写道：“归路晚风清”古人回程还惦记送走的人。今天敬你，愿去路顺当，归路从容；往后有好消息，记得分给我们一点。</x:v>
      </x:c>
      <x:c r="H125" s="9" t="str">
        <x:v>苏轼在《南乡子·送述古》里写道：“归路晚风清”古人回程还惦记送走的人。今天敬你，愿去路顺当，归路从容；往后有好消息，记得分给我们一点。
这杯敬你，愿一路顺当，有空常报平安。</x:v>
      </x:c>
      <x:c r="I125" s="9" t="str">
        <x:v>To a safe way home and friends who remember to check in.</x:v>
      </x:c>
      <x:c r="J125" s="9" t="str">
        <x:v>愿回家平安，也有朋友惦记问候。</x:v>
      </x:c>
      <x:c r="K125" s="9" t="str">
        <x:v>r04-ci-07</x:v>
      </x:c>
      <x:c r="L125" s="9" t="str">
        <x:v>苏轼《南乡子·送述古》</x:v>
      </x:c>
      <x:c r="M125" s="9" t="str">
        <x:v>归路晚风清</x:v>
      </x:c>
      <x:c r="N125" s="9" t="str">
        <x:v>送陈襄离杭，后片含愁；借归路珍重，不预报今晚天气。</x:v>
      </x:c>
      <x:c r="O125" s="9" t="str">
        <x:v>随席取意</x:v>
      </x:c>
      <x:c r="P125" s="9" t="str">
        <x:v>未限定</x:v>
      </x:c>
      <x:c r="Q125" s="9" t="str">
        <x:v>未限定</x:v>
      </x:c>
      <x:c r="R125" s="9" t="str">
        <x:v>引句后整理</x:v>
      </x:c>
      <x:c r="S125" s="9" t="str">
        <x:v>雅致</x:v>
      </x:c>
      <x:c r="T125" s="9" t="str">
        <x:v>我以茶代酒，心意一样真。</x:v>
      </x:c>
      <x:c r="U125" s="9" t="str">
        <x:v>With tea in my cup and the same warm wishes.</x:v>
      </x:c>
      <x:c r="V125" s="9" t="str">
        <x:v>苏轼在《南乡子·送述古》里写道：“归路晚风清”古人回程还惦记送走的人。今天敬你，愿去路顺当，归路从容；往后有好消息，记得分给我们一点。</x:v>
      </x:c>
      <x:c r="W125" s="9" t="str">
        <x:v>苏轼在《南乡子·送述古》里写道：“归路晚风清”古人回程还惦记送走的人。今天敬你，愿去路顺当，归路从容；往后有好消息，记得分给我们一点。
这杯敬你，愿一路顺当，有空常报平安。</x:v>
      </x:c>
      <x:c r="X125" s="9" t="str">
        <x:v>spoken</x:v>
      </x:c>
      <x:c r="Y125" s="9" t="str">
        <x:v>verse-2</x:v>
      </x:c>
      <x:c r="Z125" s="9" t="str"/>
      <x:c r="AA125" s="12" t="str"/>
    </x:row>
    <x:row r="126" ht="72" customHeight="1">
      <x:c r="A126" s="8" t="str">
        <x:v>r04-ci-28-1</x:v>
      </x:c>
      <x:c r="B126" s="10" t="n">
        <x:v>1</x:v>
      </x:c>
      <x:c r="C126" s="8" t="str">
        <x:v>当前推荐</x:v>
      </x:c>
      <x:c r="D126" s="8" t="str">
        <x:v>送别珍重</x:v>
      </x:c>
      <x:c r="E126" s="8" t="str">
        <x:v>全桌</x:v>
      </x:c>
      <x:c r="F126" s="8" t="str">
        <x:v>话没说完下次续</x:v>
      </x:c>
      <x:c r="G126" s="8" t="str">
        <x:v>牛希济在《生查子·春山烟欲收》里写道：“语已多，情未了。”原词写恋人惜别，我只借这六个字敬朋友：想说的还多，今天先送你上路；往后电话里、饭桌上，咱们接着说。</x:v>
      </x:c>
      <x:c r="H126" s="8" t="str">
        <x:v>牛希济在《生查子·春山烟欲收》里写道：“语已多，情未了。”原词写恋人惜别，我只借这六个字敬朋友：想说的还多，今天先送你上路；往后电话里、饭桌上，咱们接着说。
这杯敬你，愿一路顺当，有空常报平安。</x:v>
      </x:c>
      <x:c r="I126" s="8" t="str">
        <x:v>To conversations we can continue, even after tonight's goodbye.</x:v>
      </x:c>
      <x:c r="J126" s="8" t="str">
        <x:v>愿今晚别后，还能继续未完的交谈。</x:v>
      </x:c>
      <x:c r="K126" s="8" t="str">
        <x:v>r04-ci-28</x:v>
      </x:c>
      <x:c r="L126" s="8" t="str">
        <x:v>牛希济《生查子·春山烟欲收》</x:v>
      </x:c>
      <x:c r="M126" s="8" t="str">
        <x:v>语已多，情未了。</x:v>
      </x:c>
      <x:c r="N126" s="8" t="str">
        <x:v>恋人清晓惜别；借话未尽的惜别，不把普通朋友拟作恋人。</x:v>
      </x:c>
      <x:c r="O126" s="8" t="str">
        <x:v>随席取意</x:v>
      </x:c>
      <x:c r="P126" s="8" t="str">
        <x:v>未限定</x:v>
      </x:c>
      <x:c r="Q126" s="8" t="str">
        <x:v>未限定</x:v>
      </x:c>
      <x:c r="R126" s="8" t="str">
        <x:v>引句后整理</x:v>
      </x:c>
      <x:c r="S126" s="8" t="str">
        <x:v>雅致</x:v>
      </x:c>
      <x:c r="T126" s="8" t="str">
        <x:v>我以茶代酒，心意一样真。</x:v>
      </x:c>
      <x:c r="U126" s="8" t="str">
        <x:v>With tea in my cup and the same warm wishes.</x:v>
      </x:c>
      <x:c r="V126" s="8" t="str">
        <x:v>牛希济在《生查子·春山烟欲收》里写道：“语已多，情未了。”原词写恋人惜别，我只借这六个字敬朋友：想说的还多，今天先送你上路；往后电话里、饭桌上，咱们接着说。</x:v>
      </x:c>
      <x:c r="W126" s="8" t="str">
        <x:v>牛希济在《生查子·春山烟欲收》里写道：“语已多，情未了。”原词写恋人惜别，我只借这六个字敬朋友：想说的还多，今天先送你上路；往后电话里、饭桌上，咱们接着说。
这杯敬你，愿一路顺当，有空常报平安。</x:v>
      </x:c>
      <x:c r="X126" s="8" t="str">
        <x:v>spoken</x:v>
      </x:c>
      <x:c r="Y126" s="8" t="str">
        <x:v>verse-3</x:v>
      </x:c>
      <x:c r="Z126" s="8" t="str"/>
      <x:c r="AA126" s="12" t="str"/>
    </x:row>
    <x:row r="127" ht="57" customHeight="1">
      <x:c r="A127" s="9" t="str">
        <x:v>r04-shi-765-1</x:v>
      </x:c>
      <x:c r="B127" s="11" t="n">
        <x:v>1</x:v>
      </x:c>
      <x:c r="C127" s="9" t="str">
        <x:v>当前推荐</x:v>
      </x:c>
      <x:c r="D127" s="9" t="str">
        <x:v>送别珍重</x:v>
      </x:c>
      <x:c r="E127" s="9" t="str">
        <x:v>全桌</x:v>
      </x:c>
      <x:c r="F127" s="9" t="str">
        <x:v>散席别断音信</x:v>
      </x:c>
      <x:c r="G127" s="9" t="str">
        <x:v>借《诗经》的一句：“毋金玉尔音，而有遐心。”古人送别，也惦记一句“记得来信”。今天借它敬你：路上照顾好自己，到了报个平安，有空说说近况。</x:v>
      </x:c>
      <x:c r="H127" s="9" t="str">
        <x:v>借《诗经》的一句：“毋金玉尔音，而有遐心。”古人送别，也惦记一句“记得来信”。今天借它敬你：路上照顾好自己，到了报个平安，有空说说近况。
这杯敬你，愿一路顺当，有空常报平安。</x:v>
      </x:c>
      <x:c r="I127" s="9" t="str">
        <x:v>To keeping in touch, even after the journey takes us apart.</x:v>
      </x:c>
      <x:c r="J127" s="9" t="str">
        <x:v>愿路途虽远，音信不断。</x:v>
      </x:c>
      <x:c r="K127" s="9" t="str">
        <x:v>r04-shi-765</x:v>
      </x:c>
      <x:c r="L127" s="9" t="str">
        <x:v>《诗经·白驹》</x:v>
      </x:c>
      <x:c r="M127" s="9" t="str">
        <x:v>毋金玉尔音，而有遐心。</x:v>
      </x:c>
      <x:c r="N127" s="9" t="str">
        <x:v>留客惜别，盼勿吝音信；不解释为索要金玉礼物，不强留客人。</x:v>
      </x:c>
      <x:c r="O127" s="9" t="str">
        <x:v>随席取意</x:v>
      </x:c>
      <x:c r="P127" s="9" t="str">
        <x:v>未限定</x:v>
      </x:c>
      <x:c r="Q127" s="9" t="str">
        <x:v>未限定</x:v>
      </x:c>
      <x:c r="R127" s="9" t="str">
        <x:v>引句后整理</x:v>
      </x:c>
      <x:c r="S127" s="9" t="str">
        <x:v>雅致</x:v>
      </x:c>
      <x:c r="T127" s="9" t="str">
        <x:v>我以茶代酒，心意一样真。</x:v>
      </x:c>
      <x:c r="U127" s="9" t="str">
        <x:v>With tea in my cup and the same warm wishes.</x:v>
      </x:c>
      <x:c r="V127" s="9" t="str">
        <x:v>借《诗经》的一句：“毋金玉尔音，而有遐心。”古人送别，也惦记一句“记得来信”。今天借它敬你：路上照顾好自己，到了报个平安，有空说说近况。</x:v>
      </x:c>
      <x:c r="W127" s="9" t="str">
        <x:v>借《诗经》的一句：“毋金玉尔音，而有遐心。”古人送别，也惦记一句“记得来信”。今天借它敬你：路上照顾好自己，到了报个平安，有空说说近况。
这杯敬你，愿一路顺当，有空常报平安。</x:v>
      </x:c>
      <x:c r="X127" s="9" t="str">
        <x:v>spoken</x:v>
      </x:c>
      <x:c r="Y127" s="9" t="str">
        <x:v>verse-0</x:v>
      </x:c>
      <x:c r="Z127" s="9" t="str"/>
      <x:c r="AA127" s="12" t="str"/>
    </x:row>
    <x:row r="128" ht="72" customHeight="1">
      <x:c r="A128" s="8" t="str">
        <x:v>r04-story-24-1</x:v>
      </x:c>
      <x:c r="B128" s="10" t="n">
        <x:v>1</x:v>
      </x:c>
      <x:c r="C128" s="8" t="str">
        <x:v>当前推荐</x:v>
      </x:c>
      <x:c r="D128" s="8" t="str">
        <x:v>送别珍重</x:v>
      </x:c>
      <x:c r="E128" s="8" t="str">
        <x:v>全桌</x:v>
      </x:c>
      <x:c r="F128" s="8" t="str">
        <x:v>珍惜也留余地</x:v>
      </x:c>
      <x:c r="G128" s="8" t="str">
        <x:v>《世说新语》里记载：“既有凌霄之姿，何肯为人作耳目近玩？”书里支公后来让鹤养好羽翼飞去。今天借这份放开手的心意敬你，愿前路能尽兴，也记得有朋友在这边惦记。</x:v>
      </x:c>
      <x:c r="H128" s="8" t="str">
        <x:v>《世说新语》里记载：“既有凌霄之姿，何肯为人作耳目近玩？”书里支公后来让鹤养好羽翼飞去。今天借这份放开手的心意敬你，愿前路能尽兴，也记得有朋友在这边惦记。
这杯敬你，愿一路顺当，有空常报平安。</x:v>
      </x:c>
      <x:c r="I128" s="8" t="str">
        <x:v>To affection that leaves room for freedom and a journey of one's own.</x:v>
      </x:c>
      <x:c r="J128" s="8" t="str">
        <x:v>愿珍惜彼此，也留有自由与各自前路。</x:v>
      </x:c>
      <x:c r="K128" s="8" t="str">
        <x:v>r04-story-24</x:v>
      </x:c>
      <x:c r="L128" s="8" t="str">
        <x:v>《世说新语·言语第七十六则》支公放鹤</x:v>
      </x:c>
      <x:c r="M128" s="8" t="str">
        <x:v>既有凌霄之姿，何肯为人作耳目近玩？</x:v>
      </x:c>
      <x:c r="N128" s="8" t="str">
        <x:v>所供本原页山名用●标示，不臆补；借尊重天性、不强留之意，不模仿伤害鸟类。</x:v>
      </x:c>
      <x:c r="O128" s="8" t="str">
        <x:v>随席取意</x:v>
      </x:c>
      <x:c r="P128" s="8" t="str">
        <x:v>未限定</x:v>
      </x:c>
      <x:c r="Q128" s="8" t="str">
        <x:v>未限定</x:v>
      </x:c>
      <x:c r="R128" s="8" t="str">
        <x:v>引句后整理</x:v>
      </x:c>
      <x:c r="S128" s="8" t="str">
        <x:v>雅致</x:v>
      </x:c>
      <x:c r="T128" s="8" t="str">
        <x:v>我以茶代酒，心意一样真。</x:v>
      </x:c>
      <x:c r="U128" s="8" t="str">
        <x:v>With tea in my cup and the same warm wishes.</x:v>
      </x:c>
      <x:c r="V128" s="8" t="str">
        <x:v>《世说新语》里记载：“既有凌霄之姿，何肯为人作耳目近玩？”书里支公后来让鹤养好羽翼飞去。今天借这份放开手的心意敬你，愿前路能尽兴，也记得有朋友在这边惦记。</x:v>
      </x:c>
      <x:c r="W128" s="8" t="str">
        <x:v>《世说新语》里记载：“既有凌霄之姿，何肯为人作耳目近玩？”书里支公后来让鹤养好羽翼飞去。今天借这份放开手的心意敬你，愿前路能尽兴，也记得有朋友在这边惦记。
这杯敬你，愿一路顺当，有空常报平安。</x:v>
      </x:c>
      <x:c r="X128" s="8" t="str">
        <x:v>spoken</x:v>
      </x:c>
      <x:c r="Y128" s="8" t="str">
        <x:v>story-3</x:v>
      </x:c>
      <x:c r="Z128" s="8" t="str"/>
      <x:c r="AA128" s="12" t="str"/>
    </x:row>
    <x:row r="129" ht="42" customHeight="1">
      <x:c r="A129" s="9" t="str">
        <x:v>spoken-farewell-01</x:v>
      </x:c>
      <x:c r="B129" s="11" t="n">
        <x:v>1</x:v>
      </x:c>
      <x:c r="C129" s="9" t="str">
        <x:v>当前推荐</x:v>
      </x:c>
      <x:c r="D129" s="9" t="str">
        <x:v>送别珍重</x:v>
      </x:c>
      <x:c r="E129" s="9" t="str">
        <x:v>全桌</x:v>
      </x:c>
      <x:c r="F129" s="9" t="str">
        <x:v>到了，记得说一声</x:v>
      </x:c>
      <x:c r="G129" s="9" t="str">
        <x:v>这杯送你，到了记得说一声。换个地方也照顾好自己，往后有空，咱们再约饭。</x:v>
      </x:c>
      <x:c r="H129" s="9" t="str">
        <x:v>今天先把祝福送给你：一路平安，到了那边慢慢适应，别什么事都自己硬扛。有开心的消息，记得跟我们说；想聊的时候，也随时招呼一声。这杯敬你。</x:v>
      </x:c>
      <x:c r="I129" s="9" t="str">
        <x:v>Safe travels. Let us know when you arrive, and remember you can always call.</x:v>
      </x:c>
      <x:c r="J129" s="9" t="str">
        <x:v>祝一路平安，到了说一声，想聊的时候随时联系。</x:v>
      </x:c>
      <x:c r="K129" s="9" t="str">
        <x:v>farewell</x:v>
      </x:c>
      <x:c r="L129" s="9" t="str">
        <x:v>送行有惜别，也有祝愿</x:v>
      </x:c>
      <x:c r="M129" s="9" t="str"/>
      <x:c r="N129" s="9" t="str">
        <x:v>普通朋友送行口吻；不预设赴任、退休、目的地或永远离别。</x:v>
      </x:c>
      <x:c r="O129" s="9" t="str">
        <x:v>未限定</x:v>
      </x:c>
      <x:c r="P129" s="9" t="str">
        <x:v>未限定</x:v>
      </x:c>
      <x:c r="Q129" s="9" t="str">
        <x:v>未限定</x:v>
      </x:c>
      <x:c r="R129" s="9" t="str">
        <x:v>依据表达方法整理</x:v>
      </x:c>
      <x:c r="S129" s="9" t="str">
        <x:v>雅致</x:v>
      </x:c>
      <x:c r="T129" s="9" t="str">
        <x:v>今天我以茶代酒，这份珍重一样。</x:v>
      </x:c>
      <x:c r="U129" s="9" t="str">
        <x:v>I’m raising a cup of tea, with the same warm wishes.</x:v>
      </x:c>
      <x:c r="V129" s="9" t="str">
        <x:v>这杯送你，到了记得说一声。换个地方也照顾好自己，往后有空，咱们再约饭。</x:v>
      </x:c>
      <x:c r="W129" s="9" t="str">
        <x:v>今天先把祝福送给你：一路平安，到了那边慢慢适应，别什么事都自己硬扛。有开心的消息，记得跟我们说；想聊的时候，也随时招呼一声。这杯敬你。</x:v>
      </x:c>
      <x:c r="X129" s="9" t="str">
        <x:v>spoken</x:v>
      </x:c>
      <x:c r="Y129" s="9" t="str">
        <x:v>plain</x:v>
      </x:c>
      <x:c r="Z129" s="9" t="str"/>
      <x:c r="AA129" s="12" t="str"/>
    </x:row>
    <x:row r="130" ht="42" customHeight="1">
      <x:c r="A130" s="8" t="str">
        <x:v>spoken-farewell-02</x:v>
      </x:c>
      <x:c r="B130" s="10" t="n">
        <x:v>1</x:v>
      </x:c>
      <x:c r="C130" s="8" t="str">
        <x:v>当前推荐</x:v>
      </x:c>
      <x:c r="D130" s="8" t="str">
        <x:v>送别珍重</x:v>
      </x:c>
      <x:c r="E130" s="8" t="str">
        <x:v>全桌</x:v>
      </x:c>
      <x:c r="F130" s="8" t="str">
        <x:v>日子过好，别急着样样都好</x:v>
      </x:c>
      <x:c r="G130" s="8" t="str">
        <x:v>新的地方，慢慢来，先把自己照顾好。这杯祝你顺利，也等着听你的新故事。</x:v>
      </x:c>
      <x:c r="H130" s="8" t="str">
        <x:v>要换个地方、换段生活，总有新鲜，也难免有不习惯。今天这杯祝你顺利，日子慢慢过，事情一件件来。等下次见面，你讲新的故事，我们接着听。</x:v>
      </x:c>
      <x:c r="I130" s="8" t="str">
        <x:v>May your new chapter unfold gently, one day at a time. We look forward to your stories.</x:v>
      </x:c>
      <x:c r="J130" s="8" t="str">
        <x:v>愿新的生活慢慢展开，也盼下次听你讲新故事。</x:v>
      </x:c>
      <x:c r="K130" s="8" t="str">
        <x:v>farewell</x:v>
      </x:c>
      <x:c r="L130" s="8" t="str">
        <x:v>送行有惜别，也有祝愿</x:v>
      </x:c>
      <x:c r="M130" s="8" t="str"/>
      <x:c r="N130" s="8" t="str">
        <x:v>普通朋友送行口吻；不预设赴任、退休、目的地或永远离别。</x:v>
      </x:c>
      <x:c r="O130" s="8" t="str">
        <x:v>未限定</x:v>
      </x:c>
      <x:c r="P130" s="8" t="str">
        <x:v>未限定</x:v>
      </x:c>
      <x:c r="Q130" s="8" t="str">
        <x:v>未限定</x:v>
      </x:c>
      <x:c r="R130" s="8" t="str">
        <x:v>依据表达方法整理</x:v>
      </x:c>
      <x:c r="S130" s="8" t="str">
        <x:v>雅致</x:v>
      </x:c>
      <x:c r="T130" s="8" t="str">
        <x:v>我用茶送你一句珍重，愿一路顺利。</x:v>
      </x:c>
      <x:c r="U130" s="8" t="str">
        <x:v>I’m raising a cup of tea, with the same warm wishes.</x:v>
      </x:c>
      <x:c r="V130" s="8" t="str">
        <x:v>新的地方，慢慢来，先把自己照顾好。这杯祝你顺利，也等着听你的新故事。</x:v>
      </x:c>
      <x:c r="W130" s="8" t="str">
        <x:v>要换个地方、换段生活，总有新鲜，也难免有不习惯。今天这杯祝你顺利，日子慢慢过，事情一件件来。等下次见面，你讲新的故事，我们接着听。</x:v>
      </x:c>
      <x:c r="X130" s="8" t="str">
        <x:v>spoken</x:v>
      </x:c>
      <x:c r="Y130" s="8" t="str">
        <x:v>plain</x:v>
      </x:c>
      <x:c r="Z130" s="8" t="str"/>
      <x:c r="AA130" s="12" t="str"/>
    </x:row>
    <x:row r="131" ht="42" customHeight="1">
      <x:c r="A131" s="9" t="str">
        <x:v>spoken-farewell-03</x:v>
      </x:c>
      <x:c r="B131" s="11" t="n">
        <x:v>1</x:v>
      </x:c>
      <x:c r="C131" s="9" t="str">
        <x:v>当前推荐</x:v>
      </x:c>
      <x:c r="D131" s="9" t="str">
        <x:v>送别珍重</x:v>
      </x:c>
      <x:c r="E131" s="9" t="str">
        <x:v>全桌</x:v>
      </x:c>
      <x:c r="F131" s="9" t="str">
        <x:v>见面少一点，牵挂不会少</x:v>
      </x:c>
      <x:c r="G131" s="9" t="str">
        <x:v>以后见面可能没这么方便，想起了就打个电话。这杯敬你，祝一路顺利，咱们常联系。</x:v>
      </x:c>
      <x:c r="H131" s="9" t="str">
        <x:v>今天这顿饭有点舍不得，不过更多还是替你祝福。以后就算见面没那么方便，电话和消息也都还在。这杯敬你，愿你在新的地方过得踏实、过得开心。</x:v>
      </x:c>
      <x:c r="I131" s="9" t="str">
        <x:v>We may meet less often, but we’ll stay in touch. Wishing you a happy life ahead.</x:v>
      </x:c>
      <x:c r="J131" s="9" t="str">
        <x:v>见面或许少一些，联系不会断，祝你往后的生活开心。</x:v>
      </x:c>
      <x:c r="K131" s="9" t="str">
        <x:v>farewell</x:v>
      </x:c>
      <x:c r="L131" s="9" t="str">
        <x:v>送行有惜别，也有祝愿</x:v>
      </x:c>
      <x:c r="M131" s="9" t="str"/>
      <x:c r="N131" s="9" t="str">
        <x:v>普通朋友送行口吻；不预设赴任、退休、目的地或永远离别。</x:v>
      </x:c>
      <x:c r="O131" s="9" t="str">
        <x:v>未限定</x:v>
      </x:c>
      <x:c r="P131" s="9" t="str">
        <x:v>未限定</x:v>
      </x:c>
      <x:c r="Q131" s="9" t="str">
        <x:v>未限定</x:v>
      </x:c>
      <x:c r="R131" s="9" t="str">
        <x:v>依据表达方法整理</x:v>
      </x:c>
      <x:c r="S131" s="9" t="str">
        <x:v>雅致</x:v>
      </x:c>
      <x:c r="T131" s="9" t="str">
        <x:v>杯里是茶，祝福一样认真。</x:v>
      </x:c>
      <x:c r="U131" s="9" t="str">
        <x:v>I’m raising a cup of tea, with the same warm wishes.</x:v>
      </x:c>
      <x:c r="V131" s="9" t="str">
        <x:v>以后见面可能没这么方便，想起了就打个电话。这杯敬你，祝一路顺利，咱们常联系。</x:v>
      </x:c>
      <x:c r="W131" s="9" t="str">
        <x:v>今天这顿饭有点舍不得，不过更多还是替你祝福。以后就算见面没那么方便，电话和消息也都还在。这杯敬你，愿你在新的地方过得踏实、过得开心。</x:v>
      </x:c>
      <x:c r="X131" s="9" t="str">
        <x:v>spoken</x:v>
      </x:c>
      <x:c r="Y131" s="9" t="str">
        <x:v>plain</x:v>
      </x:c>
      <x:c r="Z131" s="9" t="str"/>
      <x:c r="AA131" s="12" t="str"/>
    </x:row>
    <x:row r="132" ht="42" customHeight="1">
      <x:c r="A132" s="8" t="str">
        <x:v>spoken-farewell-06</x:v>
      </x:c>
      <x:c r="B132" s="10" t="n">
        <x:v>1</x:v>
      </x:c>
      <x:c r="C132" s="8" t="str">
        <x:v>当前推荐</x:v>
      </x:c>
      <x:c r="D132" s="8" t="str">
        <x:v>送别珍重</x:v>
      </x:c>
      <x:c r="E132" s="8" t="str">
        <x:v>全桌</x:v>
      </x:c>
      <x:c r="F132" s="8" t="str">
        <x:v>万里也不耽误惦记</x:v>
      </x:c>
      <x:c r="G132" s="8" t="str">
        <x:v>“相知无远近，万里尚为邻。”现在联系方便，远一点也不耽误惦记。来，敬你一路平安。</x:v>
      </x:c>
      <x:c r="H132" s="8" t="str">
        <x:v>“相知无远近，万里尚为邻。”这话放到今天，我就想说：有事没事都能联系，别因为远了就客气。今天先送你一杯祝福，愿你出发顺利，往后的日子也顺心。</x:v>
      </x:c>
      <x:c r="I132" s="8" t="str">
        <x:v>Near or far, please stay in touch. Wishing you a safe journey and good days ahead.</x:v>
      </x:c>
      <x:c r="J132" s="8" t="str">
        <x:v>不论远近，都记得联系，祝一路平安、往后顺心。</x:v>
      </x:c>
      <x:c r="K132" s="8" t="str">
        <x:v>zhang</x:v>
      </x:c>
      <x:c r="L132" s="8" t="str">
        <x:v>张九龄《送韦城李少府》</x:v>
      </x:c>
      <x:c r="M132" s="8" t="str">
        <x:v>相知无远近，万里尚为邻。</x:v>
      </x:c>
      <x:c r="N132" s="8" t="str">
        <x:v>普通朋友送行口吻；不预设赴任、退休、目的地或永远离别。</x:v>
      </x:c>
      <x:c r="O132" s="8" t="str">
        <x:v>未限定</x:v>
      </x:c>
      <x:c r="P132" s="8" t="str">
        <x:v>未限定</x:v>
      </x:c>
      <x:c r="Q132" s="8" t="str">
        <x:v>未限定</x:v>
      </x:c>
      <x:c r="R132" s="8" t="str">
        <x:v>引句后整理</x:v>
      </x:c>
      <x:c r="S132" s="8" t="str">
        <x:v>雅致</x:v>
      </x:c>
      <x:c r="T132" s="8" t="str">
        <x:v>杯里是茶，祝福一样认真。</x:v>
      </x:c>
      <x:c r="U132" s="8" t="str">
        <x:v>I’m raising a cup of tea, with the same warm wishes.</x:v>
      </x:c>
      <x:c r="V132" s="8" t="str">
        <x:v>“相知无远近，万里尚为邻。”现在联系方便，远一点也不耽误惦记。来，敬你一路平安。</x:v>
      </x:c>
      <x:c r="W132" s="8" t="str">
        <x:v>“相知无远近，万里尚为邻。”这话放到今天，我就想说：有事没事都能联系，别因为远了就客气。今天先送你一杯祝福，愿你出发顺利，往后的日子也顺心。</x:v>
      </x:c>
      <x:c r="X132" s="8" t="str">
        <x:v>spoken</x:v>
      </x:c>
      <x:c r="Y132" s="8" t="str">
        <x:v>verse</x:v>
      </x:c>
      <x:c r="Z132" s="8" t="str"/>
      <x:c r="AA132" s="12" t="str"/>
    </x:row>
    <x:row r="133" ht="42" customHeight="1">
      <x:c r="A133" s="9" t="str">
        <x:v>spoken-farewell-07</x:v>
      </x:c>
      <x:c r="B133" s="11" t="n">
        <x:v>1</x:v>
      </x:c>
      <x:c r="C133" s="9" t="str">
        <x:v>当前推荐</x:v>
      </x:c>
      <x:c r="D133" s="9" t="str">
        <x:v>送别珍重</x:v>
      </x:c>
      <x:c r="E133" s="9" t="str">
        <x:v>全桌</x:v>
      </x:c>
      <x:c r="F133" s="9" t="str">
        <x:v>行李你装，祝福我送</x:v>
      </x:c>
      <x:c r="G133" s="9" t="str">
        <x:v>行李你自己装，祝福我替你多装一点。来，祝你一路顺利，下回带点新鲜事回来聊！</x:v>
      </x:c>
      <x:c r="H133" s="9" t="str">
        <x:v>这次行李我就不帮你挑了，祝福倒可以多送一点。祝你一路顺利，饭能吃好，觉能睡好，新地方能找到合得来的朋友。下回见面，记得带点新鲜事，我们听个够。</x:v>
      </x:c>
      <x:c r="I133" s="9" t="str">
        <x:v>Pack a few extra good wishes from us. We can’t wait to hear your new stories.</x:v>
      </x:c>
      <x:c r="J133" s="9" t="str">
        <x:v>把我们的祝福也带上，下回等着听你的新故事。</x:v>
      </x:c>
      <x:c r="K133" s="9" t="str">
        <x:v>farewell</x:v>
      </x:c>
      <x:c r="L133" s="9" t="str">
        <x:v>送行有惜别，也有祝愿</x:v>
      </x:c>
      <x:c r="M133" s="9" t="str"/>
      <x:c r="N133" s="9" t="str">
        <x:v>普通朋友送行口吻；不预设赴任、退休、目的地或永远离别。</x:v>
      </x:c>
      <x:c r="O133" s="9" t="str">
        <x:v>未限定</x:v>
      </x:c>
      <x:c r="P133" s="9" t="str">
        <x:v>未限定</x:v>
      </x:c>
      <x:c r="Q133" s="9" t="str">
        <x:v>未限定</x:v>
      </x:c>
      <x:c r="R133" s="9" t="str">
        <x:v>依据表达方法整理</x:v>
      </x:c>
      <x:c r="S133" s="9" t="str">
        <x:v>诙谐</x:v>
      </x:c>
      <x:c r="T133" s="9" t="str">
        <x:v>今天我以茶代酒，这份珍重一样。</x:v>
      </x:c>
      <x:c r="U133" s="9" t="str">
        <x:v>I’m raising a cup of tea, with the same warm wishes.</x:v>
      </x:c>
      <x:c r="V133" s="9" t="str">
        <x:v>行李你自己装，祝福我替你多装一点。来，祝你一路顺利，下回带点新鲜事回来聊！</x:v>
      </x:c>
      <x:c r="W133" s="9" t="str">
        <x:v>这次行李我就不帮你挑了，祝福倒可以多送一点。祝你一路顺利，饭能吃好，觉能睡好，新地方能找到合得来的朋友。下回见面，记得带点新鲜事，我们听个够。</x:v>
      </x:c>
      <x:c r="X133" s="9" t="str">
        <x:v>spoken</x:v>
      </x:c>
      <x:c r="Y133" s="9" t="str">
        <x:v>fun</x:v>
      </x:c>
      <x:c r="Z133" s="9" t="str"/>
      <x:c r="AA133" s="12" t="str"/>
    </x:row>
    <x:row r="134" ht="42" customHeight="1">
      <x:c r="A134" s="8" t="str">
        <x:v>spoken-farewell-08</x:v>
      </x:c>
      <x:c r="B134" s="10" t="n">
        <x:v>1</x:v>
      </x:c>
      <x:c r="C134" s="8" t="str">
        <x:v>当前推荐</x:v>
      </x:c>
      <x:c r="D134" s="8" t="str">
        <x:v>送别珍重</x:v>
      </x:c>
      <x:c r="E134" s="8" t="str">
        <x:v>全桌</x:v>
      </x:c>
      <x:c r="F134" s="8" t="str">
        <x:v>别只发风景，也报个平安</x:v>
      </x:c>
      <x:c r="G134" s="8" t="str">
        <x:v>到了新地方，风景可以多拍，平安也记得报。来，祝你顺利，咱们下顿饭以后再约。</x:v>
      </x:c>
      <x:c r="H134" s="8" t="str">
        <x:v>以后去到新地方，朋友圈可以发风景，咱们聊天也别断了近况。这杯祝你顺利，开心的事多一点，犯难的时候也能找到人商量。下回聚，听你慢慢讲。</x:v>
      </x:c>
      <x:c r="I134" s="8" t="str">
        <x:v>Send us the views, but let us know how you’re doing too. Safe travels!</x:v>
      </x:c>
      <x:c r="J134" s="8" t="str">
        <x:v>风景可以分享，近况也别忘了说，祝一路平安。</x:v>
      </x:c>
      <x:c r="K134" s="8" t="str">
        <x:v>farewell</x:v>
      </x:c>
      <x:c r="L134" s="8" t="str">
        <x:v>送行有惜别，也有祝愿</x:v>
      </x:c>
      <x:c r="M134" s="8" t="str"/>
      <x:c r="N134" s="8" t="str">
        <x:v>普通朋友送行口吻；不预设赴任、退休、目的地或永远离别。</x:v>
      </x:c>
      <x:c r="O134" s="8" t="str">
        <x:v>未限定</x:v>
      </x:c>
      <x:c r="P134" s="8" t="str">
        <x:v>未限定</x:v>
      </x:c>
      <x:c r="Q134" s="8" t="str">
        <x:v>未限定</x:v>
      </x:c>
      <x:c r="R134" s="8" t="str">
        <x:v>依据表达方法整理</x:v>
      </x:c>
      <x:c r="S134" s="8" t="str">
        <x:v>诙谐</x:v>
      </x:c>
      <x:c r="T134" s="8" t="str">
        <x:v>我用茶送你一句珍重，愿一路顺利。</x:v>
      </x:c>
      <x:c r="U134" s="8" t="str">
        <x:v>I’m raising a cup of tea, with the same warm wishes.</x:v>
      </x:c>
      <x:c r="V134" s="8" t="str">
        <x:v>到了新地方，风景可以多拍，平安也记得报。来，祝你顺利，咱们下顿饭以后再约。</x:v>
      </x:c>
      <x:c r="W134" s="8" t="str">
        <x:v>以后去到新地方，朋友圈可以发风景，咱们聊天也别断了近况。这杯祝你顺利，开心的事多一点，犯难的时候也能找到人商量。下回聚，听你慢慢讲。</x:v>
      </x:c>
      <x:c r="X134" s="8" t="str">
        <x:v>spoken</x:v>
      </x:c>
      <x:c r="Y134" s="8" t="str">
        <x:v>fun</x:v>
      </x:c>
      <x:c r="Z134" s="8" t="str"/>
      <x:c r="AA134" s="12" t="str"/>
    </x:row>
    <x:row r="135" ht="42" customHeight="1">
      <x:c r="A135" s="9" t="str">
        <x:v>spoken-farewell-09</x:v>
      </x:c>
      <x:c r="B135" s="11" t="n">
        <x:v>1</x:v>
      </x:c>
      <x:c r="C135" s="9" t="str">
        <x:v>当前推荐</x:v>
      </x:c>
      <x:c r="D135" s="9" t="str">
        <x:v>送别珍重</x:v>
      </x:c>
      <x:c r="E135" s="9" t="str">
        <x:v>全桌</x:v>
      </x:c>
      <x:c r="F135" s="9" t="str">
        <x:v>有难处，别一个人扛</x:v>
      </x:c>
      <x:c r="G135" s="9" t="str">
        <x:v>这杯祝你一路顺利。到了新地方，有难处别一个人扛，能联系的时候，咱们就多联系。</x:v>
      </x:c>
      <x:c r="H135" s="9" t="str">
        <x:v>要说的话不少，今天最想说的还是一句：照顾好自己。新的地方慢慢熟，遇到难处别一个人硬扛。这杯敬你，也盼着下次听你讲些开心的新鲜事。</x:v>
      </x:c>
      <x:c r="I135" s="9" t="str">
        <x:v>Take care of yourself, and don’t feel you have to face every difficulty alone.</x:v>
      </x:c>
      <x:c r="J135" s="9" t="str">
        <x:v>照顾好自己，有难处也不用总是一个人面对。</x:v>
      </x:c>
      <x:c r="K135" s="9" t="str">
        <x:v>farewell</x:v>
      </x:c>
      <x:c r="L135" s="9" t="str">
        <x:v>送行有惜别，也有祝愿</x:v>
      </x:c>
      <x:c r="M135" s="9" t="str"/>
      <x:c r="N135" s="9" t="str">
        <x:v>普通朋友送行口吻；不预设赴任、退休、目的地或永远离别。</x:v>
      </x:c>
      <x:c r="O135" s="9" t="str">
        <x:v>未限定</x:v>
      </x:c>
      <x:c r="P135" s="9" t="str">
        <x:v>未限定</x:v>
      </x:c>
      <x:c r="Q135" s="9" t="str">
        <x:v>未限定</x:v>
      </x:c>
      <x:c r="R135" s="9" t="str">
        <x:v>依据表达方法整理</x:v>
      </x:c>
      <x:c r="S135" s="9" t="str">
        <x:v>雅致</x:v>
      </x:c>
      <x:c r="T135" s="9" t="str">
        <x:v>杯里是茶，祝福一样认真。</x:v>
      </x:c>
      <x:c r="U135" s="9" t="str">
        <x:v>I’m raising a cup of tea, with the same warm wishes.</x:v>
      </x:c>
      <x:c r="V135" s="9" t="str">
        <x:v>这杯祝你一路顺利。到了新地方，有难处别一个人扛，能联系的时候，咱们就多联系。</x:v>
      </x:c>
      <x:c r="W135" s="9" t="str">
        <x:v>要说的话不少，今天最想说的还是一句：照顾好自己。新的地方慢慢熟，遇到难处别一个人硬扛。这杯敬你，也盼着下次听你讲些开心的新鲜事。</x:v>
      </x:c>
      <x:c r="X135" s="9" t="str">
        <x:v>spoken</x:v>
      </x:c>
      <x:c r="Y135" s="9" t="str">
        <x:v>plain</x:v>
      </x:c>
      <x:c r="Z135" s="9" t="str"/>
      <x:c r="AA135" s="12" t="str"/>
    </x:row>
    <x:row r="136" ht="42" customHeight="1">
      <x:c r="A136" s="8" t="str">
        <x:v>spoken-farewell-11</x:v>
      </x:c>
      <x:c r="B136" s="10" t="n">
        <x:v>1</x:v>
      </x:c>
      <x:c r="C136" s="8" t="str">
        <x:v>当前推荐</x:v>
      </x:c>
      <x:c r="D136" s="8" t="str">
        <x:v>送别珍重</x:v>
      </x:c>
      <x:c r="E136" s="8" t="str">
        <x:v>全桌</x:v>
      </x:c>
      <x:c r="F136" s="8" t="str">
        <x:v>人过去了，消息别失联</x:v>
      </x:c>
      <x:c r="G136" s="8" t="str">
        <x:v>人可以去远一点，消息别跟着失联。来，这杯祝你顺利，也等你给我们报好消息。</x:v>
      </x:c>
      <x:c r="H136" s="8" t="str">
        <x:v>去新地方总有新鲜事，我们就等着你慢慢讲。今天这杯祝你顺利，人可以去远一点，消息别跟着失联。有空报个平安，开心了也让我们跟着高兴一下。</x:v>
      </x:c>
      <x:c r="I136" s="8" t="str">
        <x:v>Go far, but don’t disappear from the group chat. We’ll be happy to hear your news.</x:v>
      </x:c>
      <x:c r="J136" s="8" t="str">
        <x:v>可以去远方，别从聊天里消失，咱们等你的好消息。</x:v>
      </x:c>
      <x:c r="K136" s="8" t="str">
        <x:v>farewell</x:v>
      </x:c>
      <x:c r="L136" s="8" t="str">
        <x:v>送行有惜别，也有祝愿</x:v>
      </x:c>
      <x:c r="M136" s="8" t="str"/>
      <x:c r="N136" s="8" t="str">
        <x:v>普通朋友送行口吻；不预设赴任、退休、目的地或永远离别。</x:v>
      </x:c>
      <x:c r="O136" s="8" t="str">
        <x:v>未限定</x:v>
      </x:c>
      <x:c r="P136" s="8" t="str">
        <x:v>未限定</x:v>
      </x:c>
      <x:c r="Q136" s="8" t="str">
        <x:v>未限定</x:v>
      </x:c>
      <x:c r="R136" s="8" t="str">
        <x:v>依据表达方法整理</x:v>
      </x:c>
      <x:c r="S136" s="8" t="str">
        <x:v>诙谐</x:v>
      </x:c>
      <x:c r="T136" s="8" t="str">
        <x:v>我用茶送你一句珍重，愿一路顺利。</x:v>
      </x:c>
      <x:c r="U136" s="8" t="str">
        <x:v>I’m raising a cup of tea, with the same warm wishes.</x:v>
      </x:c>
      <x:c r="V136" s="8" t="str">
        <x:v>人可以去远一点，消息别跟着失联。来，这杯祝你顺利，也等你给我们报好消息。</x:v>
      </x:c>
      <x:c r="W136" s="8" t="str">
        <x:v>去新地方总有新鲜事，我们就等着你慢慢讲。今天这杯祝你顺利，人可以去远一点，消息别跟着失联。有空报个平安，开心了也让我们跟着高兴一下。</x:v>
      </x:c>
      <x:c r="X136" s="8" t="str">
        <x:v>spoken</x:v>
      </x:c>
      <x:c r="Y136" s="8" t="str">
        <x:v>fun</x:v>
      </x:c>
      <x:c r="Z136" s="8" t="str"/>
      <x:c r="AA136" s="12" t="str"/>
    </x:row>
    <x:row r="137" ht="42" customHeight="1">
      <x:c r="A137" s="9" t="str">
        <x:v>spoken-farewell-12</x:v>
      </x:c>
      <x:c r="B137" s="11" t="n">
        <x:v>1</x:v>
      </x:c>
      <x:c r="C137" s="9" t="str">
        <x:v>当前推荐</x:v>
      </x:c>
      <x:c r="D137" s="9" t="str">
        <x:v>送别珍重</x:v>
      </x:c>
      <x:c r="E137" s="9" t="str">
        <x:v>全桌</x:v>
      </x:c>
      <x:c r="F137" s="9" t="str">
        <x:v>下次见面，话题你准备</x:v>
      </x:c>
      <x:c r="G137" s="9" t="str">
        <x:v>今天这杯我来敬，下次见面的新话题可就交给你了。祝你一路顺，天天有点新鲜事。</x:v>
      </x:c>
      <x:c r="H137" s="9" t="str">
        <x:v>今天咱们送祝福，下次见面，就等着听你讲新故事了。这杯祝你一路顺利，遇到的人好相处，忙的事情有进展，闲下来还有心情看点新风景。</x:v>
      </x:c>
      <x:c r="I137" s="9" t="str">
        <x:v>We’ll bring the good wishes today; you bring the new stories next time. Safe travels!</x:v>
      </x:c>
      <x:c r="J137" s="9" t="str">
        <x:v>今天我们送祝福，下次你带新故事，祝一路平安。</x:v>
      </x:c>
      <x:c r="K137" s="9" t="str">
        <x:v>farewell</x:v>
      </x:c>
      <x:c r="L137" s="9" t="str">
        <x:v>送行有惜别，也有祝愿</x:v>
      </x:c>
      <x:c r="M137" s="9" t="str"/>
      <x:c r="N137" s="9" t="str">
        <x:v>普通朋友送行口吻；不预设赴任、退休、目的地或永远离别。</x:v>
      </x:c>
      <x:c r="O137" s="9" t="str">
        <x:v>未限定</x:v>
      </x:c>
      <x:c r="P137" s="9" t="str">
        <x:v>未限定</x:v>
      </x:c>
      <x:c r="Q137" s="9" t="str">
        <x:v>未限定</x:v>
      </x:c>
      <x:c r="R137" s="9" t="str">
        <x:v>依据表达方法整理</x:v>
      </x:c>
      <x:c r="S137" s="9" t="str">
        <x:v>诙谐</x:v>
      </x:c>
      <x:c r="T137" s="9" t="str">
        <x:v>杯里是茶，祝福一样认真。</x:v>
      </x:c>
      <x:c r="U137" s="9" t="str">
        <x:v>I’m raising a cup of tea, with the same warm wishes.</x:v>
      </x:c>
      <x:c r="V137" s="9" t="str">
        <x:v>今天这杯我来敬，下次见面的新话题可就交给你了。祝你一路顺，天天有点新鲜事。</x:v>
      </x:c>
      <x:c r="W137" s="9" t="str">
        <x:v>今天咱们送祝福，下次见面，就等着听你讲新故事了。这杯祝你一路顺利，遇到的人好相处，忙的事情有进展，闲下来还有心情看点新风景。</x:v>
      </x:c>
      <x:c r="X137" s="9" t="str">
        <x:v>spoken</x:v>
      </x:c>
      <x:c r="Y137" s="9" t="str">
        <x:v>fun</x:v>
      </x:c>
      <x:c r="Z137" s="9" t="str"/>
      <x:c r="AA137" s="12" t="str"/>
    </x:row>
    <x:row r="138" ht="57" customHeight="1">
      <x:c r="A138" s="8" t="str">
        <x:v>verse-dai-reunion-farewell</x:v>
      </x:c>
      <x:c r="B138" s="10" t="n">
        <x:v>1</x:v>
      </x:c>
      <x:c r="C138" s="8" t="str">
        <x:v>当前推荐</x:v>
      </x:c>
      <x:c r="D138" s="8" t="str">
        <x:v>送别珍重</x:v>
      </x:c>
      <x:c r="E138" s="8" t="str">
        <x:v>全桌</x:v>
      </x:c>
      <x:c r="F138" s="8" t="str">
        <x:v>这一席道珍重，也盼再相逢</x:v>
      </x:c>
      <x:c r="G138" s="8" t="str">
        <x:v>“还作江南会，翻疑梦里逢。”今天先把再会的心意送给你。愿新的一程顺当，下次同桌，咱们都有好故事可讲。</x:v>
      </x:c>
      <x:c r="H138" s="8" t="str">
        <x:v>戴叔伦写重逢，说“还作江南会，翻疑梦里逢。”。今天送你一杯祝愿，也提前盼下一次见面。愿你新的一程顺当，忙有所得，闲有所乐；各自过好日子，再相聚时，把新故事慢慢讲给彼此听。</x:v>
      </x:c>
      <x:c r="I138" s="8" t="str">
        <x:v>Safe travels and good days ahead. We look forward to meeting again and sharing the stories that come next.</x:v>
      </x:c>
      <x:c r="J138" s="8" t="str">
        <x:v>祝新一程顺利，也盼再会时有新故事可聊。</x:v>
      </x:c>
      <x:c r="K138" s="8" t="str">
        <x:v>poem-dai-reunion</x:v>
      </x:c>
      <x:c r="L138" s="8" t="str">
        <x:v>戴叔伦《客夜与故人偶集》</x:v>
      </x:c>
      <x:c r="M138" s="8" t="str">
        <x:v>还作江南会，翻疑梦里逢。</x:v>
      </x:c>
      <x:c r="N138" s="8" t="str">
        <x:v>原诗异地偶逢故人，有惊喜也有羁旅惜别；借相见的珍惜，不编造今日巧遇或共同故乡。</x:v>
      </x:c>
      <x:c r="O138" s="8" t="str">
        <x:v>夜晚小酌、好友知己、团圆相聚</x:v>
      </x:c>
      <x:c r="P138" s="8" t="str">
        <x:v>未限定</x:v>
      </x:c>
      <x:c r="Q138" s="8" t="str">
        <x:v>未限定</x:v>
      </x:c>
      <x:c r="R138" s="8" t="str">
        <x:v>引句后整理</x:v>
      </x:c>
      <x:c r="S138" s="8" t="str">
        <x:v>雅致</x:v>
      </x:c>
      <x:c r="T138" s="8" t="str">
        <x:v>我以茶代酒，心意一样。</x:v>
      </x:c>
      <x:c r="U138" s="8" t="str">
        <x:v>With tea in my cup and the same warm wishes.</x:v>
      </x:c>
      <x:c r="V138" s="8" t="str">
        <x:v>“还作江南会，翻疑梦里逢。”今天先把再会的心意送给你。愿新的一程顺当，下次同桌，咱们都有好故事可讲。</x:v>
      </x:c>
      <x:c r="W138" s="8" t="str">
        <x:v>戴叔伦写重逢，说“还作江南会，翻疑梦里逢。”。今天送你一杯祝愿，也提前盼下一次见面。愿你新的一程顺当，忙有所得，闲有所乐；各自过好日子，再相聚时，把新故事慢慢讲给彼此听。</x:v>
      </x:c>
      <x:c r="X138" s="8" t="str">
        <x:v>spoken</x:v>
      </x:c>
      <x:c r="Y138" s="8" t="str">
        <x:v>verse</x:v>
      </x:c>
      <x:c r="Z138" s="8" t="str"/>
      <x:c r="AA138" s="12" t="str"/>
    </x:row>
    <x:row r="139" ht="57" customHeight="1">
      <x:c r="A139" s="9" t="str">
        <x:v>verse-ou-calm-farewell</x:v>
      </x:c>
      <x:c r="B139" s="11" t="n">
        <x:v>1</x:v>
      </x:c>
      <x:c r="C139" s="9" t="str">
        <x:v>当前推荐</x:v>
      </x:c>
      <x:c r="D139" s="9" t="str">
        <x:v>送别珍重</x:v>
      </x:c>
      <x:c r="E139" s="9" t="str">
        <x:v>全桌</x:v>
      </x:c>
      <x:c r="F139" s="9" t="str">
        <x:v>前路从容，来往有情</x:v>
      </x:c>
      <x:c r="G139" s="9" t="str">
        <x:v>“把酒祝东风，且共从容。”这一杯祝你，前路走得稳，心里留得宽。相聚有时，情意常在，咱们下回再会。</x:v>
      </x:c>
      <x:c r="H139" s="9" t="str">
        <x:v>欧阳修说“把酒祝东风，且共从容”，词里有惜别，也有想把好时光留住的心。今天咱们认真道一声珍重，祝你往前走得稳，遇事想得开；带着自己的兴致出发，也带着朋友的牵挂。下次同席，再把一路的见闻说给我们听。</x:v>
      </x:c>
      <x:c r="I139" s="9" t="str">
        <x:v>To steady steps, an open heart, and knowing that friends will be glad to hear your stories when we meet again.</x:v>
      </x:c>
      <x:c r="J139" s="9" t="str">
        <x:v>愿前路稳当、心里开阔，也记得朋友盼听你的新见闻。</x:v>
      </x:c>
      <x:c r="K139" s="9" t="str">
        <x:v>poem-ou-calm</x:v>
      </x:c>
      <x:c r="L139" s="9" t="str">
        <x:v>欧阳修《浪淘沙·把酒祝东风》</x:v>
      </x:c>
      <x:c r="M139" s="9" t="str">
        <x:v>把酒祝东风，且共从容。</x:v>
      </x:c>
      <x:c r="N139" s="9" t="str">
        <x:v>原词春游惜别，含聚散匆匆之感；借且共从容邀请自在交谈，不断言春季天气。</x:v>
      </x:c>
      <x:c r="O139" s="9" t="str">
        <x:v>邀饮待客、好友知己</x:v>
      </x:c>
      <x:c r="P139" s="9" t="str">
        <x:v>未限定</x:v>
      </x:c>
      <x:c r="Q139" s="9" t="str">
        <x:v>未限定</x:v>
      </x:c>
      <x:c r="R139" s="9" t="str">
        <x:v>引句后整理</x:v>
      </x:c>
      <x:c r="S139" s="9" t="str">
        <x:v>雅致</x:v>
      </x:c>
      <x:c r="T139" s="9" t="str">
        <x:v>我以茶代酒，心意一样。</x:v>
      </x:c>
      <x:c r="U139" s="9" t="str">
        <x:v>With tea in my cup and the same warm wishes.</x:v>
      </x:c>
      <x:c r="V139" s="9" t="str">
        <x:v>“把酒祝东风，且共从容。”这一杯祝你，前路走得稳，心里留得宽。相聚有时，情意常在，咱们下回再会。</x:v>
      </x:c>
      <x:c r="W139" s="9" t="str">
        <x:v>欧阳修说“把酒祝东风，且共从容”，词里有惜别，也有想把好时光留住的心。今天咱们认真道一声珍重，祝你往前走得稳，遇事想得开；带着自己的兴致出发，也带着朋友的牵挂。下次同席，再把一路的见闻说给我们听。</x:v>
      </x:c>
      <x:c r="X139" s="9" t="str">
        <x:v>spoken</x:v>
      </x:c>
      <x:c r="Y139" s="9" t="str">
        <x:v>verse</x:v>
      </x:c>
      <x:c r="Z139" s="9" t="str"/>
      <x:c r="AA139" s="12" t="str"/>
    </x:row>
    <x:row r="140" ht="57" customHeight="1">
      <x:c r="A140" s="8" t="str">
        <x:v>verse-wang-same</x:v>
      </x:c>
      <x:c r="B140" s="10" t="n">
        <x:v>1</x:v>
      </x:c>
      <x:c r="C140" s="8" t="str">
        <x:v>当前推荐</x:v>
      </x:c>
      <x:c r="D140" s="8" t="str">
        <x:v>送别珍重</x:v>
      </x:c>
      <x:c r="E140" s="8" t="str">
        <x:v>全桌</x:v>
      </x:c>
      <x:c r="F140" s="8" t="str">
        <x:v>路有远近，情意相通</x:v>
      </x:c>
      <x:c r="G140" s="8" t="str">
        <x:v>“青山一道同云雨，明月何曾是两乡。”今天借这句送你：路有远近，情意相通。愿你新的一程顺心，下次相聚，多带几个好故事回来。</x:v>
      </x:c>
      <x:c r="H140" s="8" t="str">
        <x:v>王昌龄送朋友，说“青山一道同云雨，明月何曾是两乡。”。今天咱们不把离别说得太重，认真道一声珍重就好。这杯祝你新的一程走得稳、过得好；各自忙碌的时候，也别忘了还有朋友惦记。等下次同桌，再慢慢听你的新故事。</x:v>
      </x:c>
      <x:c r="I140" s="8" t="str">
        <x:v>To a good journey, steady steps, and friendship that stays close across the distance. We look forward to your new stories.</x:v>
      </x:c>
      <x:c r="J140" s="8" t="str">
        <x:v>祝新一程顺利，愿距离不隔情谊，也盼再听新故事。</x:v>
      </x:c>
      <x:c r="K140" s="8" t="str">
        <x:v>poem-wang-same</x:v>
      </x:c>
      <x:c r="L140" s="8" t="str">
        <x:v>王昌龄《送柴侍御》</x:v>
      </x:c>
      <x:c r="M140" s="8" t="str">
        <x:v>青山一道同云雨，明月何曾是两乡。</x:v>
      </x:c>
      <x:c r="N140" s="8" t="str">
        <x:v>送别诗以共在云雨月光之中宽慰友人；借相隔仍相亲，不预设赴任。</x:v>
      </x:c>
      <x:c r="O140" s="8" t="str">
        <x:v>月色入杯、好友知己</x:v>
      </x:c>
      <x:c r="P140" s="8" t="str">
        <x:v>未限定</x:v>
      </x:c>
      <x:c r="Q140" s="8" t="str">
        <x:v>未限定</x:v>
      </x:c>
      <x:c r="R140" s="8" t="str">
        <x:v>引句后整理</x:v>
      </x:c>
      <x:c r="S140" s="8" t="str">
        <x:v>雅致</x:v>
      </x:c>
      <x:c r="T140" s="8" t="str">
        <x:v>我以茶代酒，心意一样。</x:v>
      </x:c>
      <x:c r="U140" s="8" t="str">
        <x:v>With tea in my cup and the same warm wishes.</x:v>
      </x:c>
      <x:c r="V140" s="8" t="str">
        <x:v>“青山一道同云雨，明月何曾是两乡。”今天借这句送你：路有远近，情意相通。愿你新的一程顺心，下次相聚，多带几个好故事回来。</x:v>
      </x:c>
      <x:c r="W140" s="8" t="str">
        <x:v>王昌龄送朋友，说“青山一道同云雨，明月何曾是两乡。”。今天咱们不把离别说得太重，认真道一声珍重就好。这杯祝你新的一程走得稳、过得好；各自忙碌的时候，也别忘了还有朋友惦记。等下次同桌，再慢慢听你的新故事。</x:v>
      </x:c>
      <x:c r="X140" s="8" t="str">
        <x:v>spoken</x:v>
      </x:c>
      <x:c r="Y140" s="8" t="str">
        <x:v>verse</x:v>
      </x:c>
      <x:c r="Z140" s="8" t="str"/>
      <x:c r="AA140" s="12" t="str"/>
    </x:row>
    <x:row r="141" ht="57" customHeight="1">
      <x:c r="A141" s="9" t="str">
        <x:v>culture-friends-01</x:v>
      </x:c>
      <x:c r="B141" s="11" t="n">
        <x:v>1</x:v>
      </x:c>
      <x:c r="C141" s="9" t="str">
        <x:v>当前推荐</x:v>
      </x:c>
      <x:c r="D141" s="9" t="str">
        <x:v>朋友小聚</x:v>
      </x:c>
      <x:c r="E141" s="9" t="str">
        <x:v>全桌</x:v>
      </x:c>
      <x:c r="F141" s="9" t="str">
        <x:v>酒有深浅，情有长久</x:v>
      </x:c>
      <x:c r="G141" s="9" t="str">
        <x:v>杯中有酒，心中有友；各自奔忙，情谊长久。今天先好好吃饭，好好说话，往后有空常聚首。</x:v>
      </x:c>
      <x:c r="H141" s="9" t="str">
        <x:v>杯中有酒，心中有友；各自奔忙，情谊长久。平时各有各的事，今天坐下来，就多聊两句近况。这杯敬咱们的情谊：愿烦心事少留，好消息常有；见面不必挑大日子，有空就常聚首。</x:v>
      </x:c>
      <x:c r="I141" s="9" t="str">
        <x:v>To friendship that lasts through busy lives, and to finding time for one another.</x:v>
      </x:c>
      <x:c r="J141" s="9" t="str">
        <x:v>敬忙碌中长久的情谊，也愿彼此常有相聚的时间。</x:v>
      </x:c>
      <x:c r="K141" s="9" t="str">
        <x:v>rhythm</x:v>
      </x:c>
      <x:c r="L141" s="9" t="str">
        <x:v>把话写给耳朵听</x:v>
      </x:c>
      <x:c r="M141" s="9" t="str"/>
      <x:c r="N141" s="9" t="str">
        <x:v>原创祝愿，“酒／友／久／首”呼应；只用于熟朋友。</x:v>
      </x:c>
      <x:c r="O141" s="9" t="str">
        <x:v>未限定</x:v>
      </x:c>
      <x:c r="P141" s="9" t="str">
        <x:v>未限定</x:v>
      </x:c>
      <x:c r="Q141" s="9" t="str">
        <x:v>未限定</x:v>
      </x:c>
      <x:c r="R141" s="9" t="str">
        <x:v>依据表达方法整理</x:v>
      </x:c>
      <x:c r="S141" s="9" t="str">
        <x:v>雅致</x:v>
      </x:c>
      <x:c r="T141" s="9" t="str">
        <x:v>今天以茶代酒，心意一样真。</x:v>
      </x:c>
      <x:c r="U141" s="9" t="str">
        <x:v>With tea in my cup and the same warm wishes.</x:v>
      </x:c>
      <x:c r="V141" s="9" t="str">
        <x:v>杯中有酒，心中有友；各自奔忙，情谊长久。今天先好好吃饭，好好说话，往后有空常聚首。</x:v>
      </x:c>
      <x:c r="W141" s="9" t="str">
        <x:v>杯中有酒，心中有友；各自奔忙，情谊长久。平时各有各的事，今天坐下来，就多聊两句近况。这杯敬咱们的情谊：愿烦心事少留，好消息常有；见面不必挑大日子，有空就常聚首。</x:v>
      </x:c>
      <x:c r="X141" s="9" t="str">
        <x:v>spoken</x:v>
      </x:c>
      <x:c r="Y141" s="9" t="str">
        <x:v>rhymed</x:v>
      </x:c>
      <x:c r="Z141" s="9" t="str"/>
      <x:c r="AA141" s="12" t="str"/>
    </x:row>
    <x:row r="142" ht="57" customHeight="1">
      <x:c r="A142" s="8" t="str">
        <x:v>culture-friends-02</x:v>
      </x:c>
      <x:c r="B142" s="10" t="n">
        <x:v>1</x:v>
      </x:c>
      <x:c r="C142" s="8" t="str">
        <x:v>当前推荐</x:v>
      </x:c>
      <x:c r="D142" s="8" t="str">
        <x:v>朋友小聚</x:v>
      </x:c>
      <x:c r="E142" s="8" t="str">
        <x:v>全桌</x:v>
      </x:c>
      <x:c r="F142" s="8" t="str">
        <x:v>芝麻开花，好事来到</x:v>
      </x:c>
      <x:c r="G142" s="8" t="str">
        <x:v>芝麻开花——节节高。祝咱们烦恼少一点，笑声多一点；日子越过越有味，好事一个接一个来到！</x:v>
      </x:c>
      <x:c r="H142" s="8" t="str">
        <x:v>借句老话讨个好彩头：芝麻开花——节节高。今天敬大家，祝咱们烦恼少一点，笑声多一点；手头的事慢慢做成，心里的盼一点点变好。日子越过越有味，好事一个接一个来到！</x:v>
      </x:c>
      <x:c r="I142" s="8" t="str">
        <x:v>May life keep getting better, with fewer worries, more laughter, and good things ahead.</x:v>
      </x:c>
      <x:c r="J142" s="8" t="str">
        <x:v>愿日子越来越好，烦恼少些，笑声多些，好事常来。</x:v>
      </x:c>
      <x:c r="K142" s="8" t="str">
        <x:v>folkSesame</x:v>
      </x:c>
      <x:c r="L142" s="8" t="str">
        <x:v>芝麻开花——节节高</x:v>
      </x:c>
      <x:c r="M142" s="8" t="str">
        <x:v>芝麻开花——节节高</x:v>
      </x:c>
      <x:c r="N142" s="8" t="str">
        <x:v>民间歇后语接原创祝愿；祝生活向好，不限定升职发财。</x:v>
      </x:c>
      <x:c r="O142" s="8" t="str">
        <x:v>未限定</x:v>
      </x:c>
      <x:c r="P142" s="8" t="str">
        <x:v>未限定</x:v>
      </x:c>
      <x:c r="Q142" s="8" t="str">
        <x:v>未限定</x:v>
      </x:c>
      <x:c r="R142" s="8" t="str">
        <x:v>依据表达方法整理</x:v>
      </x:c>
      <x:c r="S142" s="8" t="str">
        <x:v>诙谐</x:v>
      </x:c>
      <x:c r="T142" s="8" t="str">
        <x:v>今天以茶代酒，心意一样真。</x:v>
      </x:c>
      <x:c r="U142" s="8" t="str">
        <x:v>With tea in my cup and the same warm wishes.</x:v>
      </x:c>
      <x:c r="V142" s="8" t="str">
        <x:v>芝麻开花——节节高。祝咱们烦恼少一点，笑声多一点；日子越过越有味，好事一个接一个来到！</x:v>
      </x:c>
      <x:c r="W142" s="8" t="str">
        <x:v>借句老话讨个好彩头：芝麻开花——节节高。今天敬大家，祝咱们烦恼少一点，笑声多一点；手头的事慢慢做成，心里的盼一点点变好。日子越过越有味，好事一个接一个来到！</x:v>
      </x:c>
      <x:c r="X142" s="8" t="str">
        <x:v>spoken</x:v>
      </x:c>
      <x:c r="Y142" s="8" t="str">
        <x:v>fun</x:v>
      </x:c>
      <x:c r="Z142" s="8" t="str"/>
      <x:c r="AA142" s="12" t="str"/>
    </x:row>
    <x:row r="143" ht="72" customHeight="1">
      <x:c r="A143" s="9" t="str">
        <x:v>friends-01</x:v>
      </x:c>
      <x:c r="B143" s="11" t="n">
        <x:v>1</x:v>
      </x:c>
      <x:c r="C143" s="9" t="str">
        <x:v>当前推荐</x:v>
      </x:c>
      <x:c r="D143" s="9" t="str">
        <x:v>朋友小聚</x:v>
      </x:c>
      <x:c r="E143" s="9" t="str">
        <x:v>全桌</x:v>
      </x:c>
      <x:c r="F143" s="9" t="str">
        <x:v>把酒话桑麻</x:v>
      </x:c>
      <x:c r="G143" s="9" t="str">
        <x:v>古人把酒话桑麻，我们举杯叙日常；愿各有奔忙，也常有相聚。
借这一杯，敬大家。</x:v>
      </x:c>
      <x:c r="H143" s="9" t="str">
        <x:v>孟浩然写“把酒话桑麻”，老朋友的好，就在能把平常日子聊得有滋有味。今天借这一杯，愿我们各有奔忙，也常有相聚；说得了心事，接得住笑话，往后还有许多这样的时光。
借这一杯，敬大家。</x:v>
      </x:c>
      <x:c r="I143" s="9" t="str">
        <x:v>To everyday stories, familiar laughter, and many more gatherings.</x:v>
      </x:c>
      <x:c r="J143" s="9" t="str">
        <x:v>敬日常的故事、熟悉的笑声，也盼更多相聚。</x:v>
      </x:c>
      <x:c r="K143" s="9" t="str">
        <x:v>reunion</x:v>
      </x:c>
      <x:c r="L143" s="9" t="str">
        <x:v>相聚与再会</x:v>
      </x:c>
      <x:c r="M143" s="9" t="str">
        <x:v>把酒话桑麻</x:v>
      </x:c>
      <x:c r="N143" s="9" t="str">
        <x:v>适合熟朋友；桑麻原指农事，这里转到日常闲谈。</x:v>
      </x:c>
      <x:c r="O143" s="9" t="str">
        <x:v>未限定</x:v>
      </x:c>
      <x:c r="P143" s="9" t="str">
        <x:v>未限定</x:v>
      </x:c>
      <x:c r="Q143" s="9" t="str">
        <x:v>未限定</x:v>
      </x:c>
      <x:c r="R143" s="9" t="str">
        <x:v>引句后整理</x:v>
      </x:c>
      <x:c r="S143" s="9" t="str">
        <x:v>雅致</x:v>
      </x:c>
      <x:c r="T143" s="9" t="str"/>
      <x:c r="U143" s="9" t="str"/>
      <x:c r="V143" s="9" t="str">
        <x:v>古人把酒话桑麻，我们举杯叙日常；愿各有奔忙，也常有相聚。</x:v>
      </x:c>
      <x:c r="W143" s="9" t="str">
        <x:v>孟浩然写“把酒话桑麻”，老朋友的好，就在能把平常日子聊得有滋有味。今天借这一杯，愿我们各有奔忙，也常有相聚；说得了心事，接得住笑话，往后还有许多这样的时光。</x:v>
      </x:c>
      <x:c r="X143" s="9" t="str"/>
      <x:c r="Y143" s="9" t="str"/>
      <x:c r="Z143" s="9" t="str"/>
      <x:c r="AA143" s="12" t="str"/>
    </x:row>
    <x:row r="144" ht="57" customHeight="1">
      <x:c r="A144" s="8" t="str">
        <x:v>friends-02</x:v>
      </x:c>
      <x:c r="B144" s="10" t="n">
        <x:v>1</x:v>
      </x:c>
      <x:c r="C144" s="8" t="str">
        <x:v>当前推荐</x:v>
      </x:c>
      <x:c r="D144" s="8" t="str">
        <x:v>朋友小聚</x:v>
      </x:c>
      <x:c r="E144" s="8" t="str">
        <x:v>全桌</x:v>
      </x:c>
      <x:c r="F144" s="8" t="str">
        <x:v>相聚不必等改天</x:v>
      </x:c>
      <x:c r="G144" s="8" t="str">
        <x:v>把酒话桑麻，举杯叙近况；愿改天有日期，下次有着落。
借这一杯，敬大家。</x:v>
      </x:c>
      <x:c r="H144" s="8" t="str">
        <x:v>古人“把酒话桑麻”，咱们今天聊聊近况，也挺风雅。借这一杯祝大家：忙有所得，闲有所乐；更祝下次聚会，改天有日期，约饭有下文。
借这一杯，敬大家。</x:v>
      </x:c>
      <x:c r="I144" s="8" t="str">
        <x:v>May “sometime soon” become a date on the calendar. Cheers to meeting again.</x:v>
      </x:c>
      <x:c r="J144" s="8" t="str">
        <x:v>愿“改天再聚”真有日期，敬下一次见面。</x:v>
      </x:c>
      <x:c r="K144" s="8" t="str">
        <x:v>reunion</x:v>
      </x:c>
      <x:c r="L144" s="8" t="str">
        <x:v>相聚与再会</x:v>
      </x:c>
      <x:c r="M144" s="8" t="str">
        <x:v>把酒话桑麻</x:v>
      </x:c>
      <x:c r="N144" s="8" t="str">
        <x:v>最后一句留一点笑意，不点名指责谁失约。</x:v>
      </x:c>
      <x:c r="O144" s="8" t="str">
        <x:v>未限定</x:v>
      </x:c>
      <x:c r="P144" s="8" t="str">
        <x:v>未限定</x:v>
      </x:c>
      <x:c r="Q144" s="8" t="str">
        <x:v>未限定</x:v>
      </x:c>
      <x:c r="R144" s="8" t="str">
        <x:v>引句后整理</x:v>
      </x:c>
      <x:c r="S144" s="8" t="str">
        <x:v>诙谐</x:v>
      </x:c>
      <x:c r="T144" s="8" t="str"/>
      <x:c r="U144" s="8" t="str"/>
      <x:c r="V144" s="8" t="str">
        <x:v>把酒话桑麻，举杯叙近况；愿改天有日期，下次有着落。</x:v>
      </x:c>
      <x:c r="W144" s="8" t="str">
        <x:v>古人“把酒话桑麻”，咱们今天聊聊近况，也挺风雅。借这一杯祝大家：忙有所得，闲有所乐；更祝下次聚会，改天有日期，约饭有下文。</x:v>
      </x:c>
      <x:c r="X144" s="8" t="str"/>
      <x:c r="Y144" s="8" t="str"/>
      <x:c r="Z144" s="8" t="str"/>
      <x:c r="AA144" s="12" t="str"/>
    </x:row>
    <x:row r="145" ht="57" customHeight="1">
      <x:c r="A145" s="9" t="str">
        <x:v>friends-03</x:v>
      </x:c>
      <x:c r="B145" s="11" t="n">
        <x:v>1</x:v>
      </x:c>
      <x:c r="C145" s="9" t="str">
        <x:v>当前推荐</x:v>
      </x:c>
      <x:c r="D145" s="9" t="str">
        <x:v>朋友小聚</x:v>
      </x:c>
      <x:c r="E145" s="9" t="str">
        <x:v>全桌</x:v>
      </x:c>
      <x:c r="F145" s="9" t="str">
        <x:v>秋意自开阔</x:v>
      </x:c>
      <x:c r="G145" s="9" t="str">
        <x:v>我言秋日胜春朝；愿各自有收获，相聚有欢笑。
借这一杯，敬大家。</x:v>
      </x:c>
      <x:c r="H145" s="9" t="str">
        <x:v>刘禹锡说“我言秋日胜春朝”。秋天也可以明朗开阔。借这一杯，愿我们各自的忙碌都有收获，相聚的时候都有欢笑；把好日子过得有滋味，把好朋友放在心上。
借这一杯，敬大家。</x:v>
      </x:c>
      <x:c r="I145" s="9" t="str">
        <x:v>To a generous autumn, meaningful work, and the joy of old friends.</x:v>
      </x:c>
      <x:c r="J145" s="9" t="str">
        <x:v>祝秋日丰盈、忙碌有意义，也敬老友相聚之乐。</x:v>
      </x:c>
      <x:c r="K145" s="9" t="str">
        <x:v>autumn</x:v>
      </x:c>
      <x:c r="L145" s="9" t="str">
        <x:v>刘禹锡《秋词》其一</x:v>
      </x:c>
      <x:c r="M145" s="9" t="str">
        <x:v>我言秋日胜春朝</x:v>
      </x:c>
      <x:c r="N145" s="9" t="str">
        <x:v>仅在秋季推荐；不把诗中晴空当作现场天气。</x:v>
      </x:c>
      <x:c r="O145" s="9" t="str">
        <x:v>未限定</x:v>
      </x:c>
      <x:c r="P145" s="9" t="str">
        <x:v>秋</x:v>
      </x:c>
      <x:c r="Q145" s="9" t="str">
        <x:v>未限定</x:v>
      </x:c>
      <x:c r="R145" s="9" t="str">
        <x:v>引句后整理</x:v>
      </x:c>
      <x:c r="S145" s="9" t="str">
        <x:v>雅致</x:v>
      </x:c>
      <x:c r="T145" s="9" t="str"/>
      <x:c r="U145" s="9" t="str"/>
      <x:c r="V145" s="9" t="str">
        <x:v>我言秋日胜春朝；愿各自有收获，相聚有欢笑。</x:v>
      </x:c>
      <x:c r="W145" s="9" t="str">
        <x:v>刘禹锡说“我言秋日胜春朝”。秋天也可以明朗开阔。借这一杯，愿我们各自的忙碌都有收获，相聚的时候都有欢笑；把好日子过得有滋味，把好朋友放在心上。</x:v>
      </x:c>
      <x:c r="X145" s="9" t="str"/>
      <x:c r="Y145" s="9" t="str"/>
      <x:c r="Z145" s="9" t="str"/>
      <x:c r="AA145" s="12" t="str"/>
    </x:row>
    <x:row r="146" ht="57" customHeight="1">
      <x:c r="A146" s="8" t="str">
        <x:v>r04-ci-02-2</x:v>
      </x:c>
      <x:c r="B146" s="10" t="n">
        <x:v>1</x:v>
      </x:c>
      <x:c r="C146" s="8" t="str">
        <x:v>当前推荐</x:v>
      </x:c>
      <x:c r="D146" s="8" t="str">
        <x:v>朋友小聚</x:v>
      </x:c>
      <x:c r="E146" s="8" t="str">
        <x:v>全桌</x:v>
      </x:c>
      <x:c r="F146" s="8" t="str">
        <x:v>热闹里也有清静 · 再说一句</x:v>
      </x:c>
      <x:c r="G146" s="8" t="str">
        <x:v>朋友聚会，不必一直抢着说话。热闹也好，安静也好，有你们同桌，这份自在就很好。借诗词中的一句：“中庭月色正清明，无数杨花过无影。”</x:v>
      </x:c>
      <x:c r="H146" s="8" t="str">
        <x:v>朋友聚会，不必一直抢着说话。热闹也好，安静也好，有你们同桌，这份自在就很好。
借张先的一句：“中庭月色正清明，无数杨花过无影。”这杯敬朋友，愿有空常聚，见面常有新话。</x:v>
      </x:c>
      <x:c r="I146" s="8" t="str">
        <x:v>To calm moments after busy days and someone to enjoy them with. Here is to another good day together.</x:v>
      </x:c>
      <x:c r="J146" s="8" t="str">
        <x:v>愿忙后有安静片刻，也有人同享。也盼再有同聚的好日子。</x:v>
      </x:c>
      <x:c r="K146" s="8" t="str">
        <x:v>r04-ci-02</x:v>
      </x:c>
      <x:c r="L146" s="8" t="str">
        <x:v>张先《木兰花·乙卯吴兴寒食》</x:v>
      </x:c>
      <x:c r="M146" s="8" t="str">
        <x:v>中庭月色正清明，无数杨花过无影。</x:v>
      </x:c>
      <x:c r="N146" s="8" t="str">
        <x:v>寒食游春由繁华转入夜静；借诗意，不称现场有月或杨花。</x:v>
      </x:c>
      <x:c r="O146" s="8" t="str">
        <x:v>好友知己、月色入杯、夜晚小酌</x:v>
      </x:c>
      <x:c r="P146" s="8" t="str">
        <x:v>未限定</x:v>
      </x:c>
      <x:c r="Q146" s="8" t="str">
        <x:v>未限定</x:v>
      </x:c>
      <x:c r="R146" s="8" t="str">
        <x:v>引句后整理</x:v>
      </x:c>
      <x:c r="S146" s="8" t="str">
        <x:v>雅致</x:v>
      </x:c>
      <x:c r="T146" s="8" t="str">
        <x:v>我以茶代酒，心意一样真。</x:v>
      </x:c>
      <x:c r="U146" s="8" t="str">
        <x:v>With tea in my cup and the same warm wishes.</x:v>
      </x:c>
      <x:c r="V146" s="8" t="str">
        <x:v>朋友聚会，不必一直抢着说话。热闹也好，安静也好，有你们同桌，这份自在就很好。借诗词中的一句：“中庭月色正清明，无数杨花过无影。”</x:v>
      </x:c>
      <x:c r="W146" s="8" t="str">
        <x:v>朋友聚会，不必一直抢着说话。热闹也好，安静也好，有你们同桌，这份自在就很好。
借张先的一句：“中庭月色正清明，无数杨花过无影。”这杯敬朋友，愿有空常聚，见面常有新话。</x:v>
      </x:c>
      <x:c r="X146" s="8" t="str">
        <x:v>spoken</x:v>
      </x:c>
      <x:c r="Y146" s="8" t="str">
        <x:v>verse-1</x:v>
      </x:c>
      <x:c r="Z146" s="8" t="str"/>
      <x:c r="AA146" s="12" t="str"/>
    </x:row>
    <x:row r="147" ht="57" customHeight="1">
      <x:c r="A147" s="9" t="str">
        <x:v>r04-ci-03-1</x:v>
      </x:c>
      <x:c r="B147" s="11" t="n">
        <x:v>1</x:v>
      </x:c>
      <x:c r="C147" s="9" t="str">
        <x:v>当前推荐</x:v>
      </x:c>
      <x:c r="D147" s="9" t="str">
        <x:v>朋友小聚</x:v>
      </x:c>
      <x:c r="E147" s="9" t="str">
        <x:v>全桌</x:v>
      </x:c>
      <x:c r="F147" s="9" t="str">
        <x:v>好时光慢一点</x:v>
      </x:c>
      <x:c r="G147" s="9" t="str">
        <x:v>宋祁写过：“为君持酒劝斜阳，且向花间留晚照。”古人想把晚照留下，咱们也想让好时光慢一点。这杯敬朋友，愿常有空见面，也常有话说。</x:v>
      </x:c>
      <x:c r="H147" s="9" t="str">
        <x:v>宋祁写过：“为君持酒劝斜阳，且向花间留晚照。”古人想把晚照留下，咱们也想让好时光慢一点。这杯敬朋友，愿常有空见面，也常有话说。
这杯敬朋友，愿有空常聚，见面常有新话。</x:v>
      </x:c>
      <x:c r="I147" s="9" t="str">
        <x:v>To making good moments last by giving one another our attention.</x:v>
      </x:c>
      <x:c r="J147" s="9" t="str">
        <x:v>愿用专心相伴，让好时光更值得回味。</x:v>
      </x:c>
      <x:c r="K147" s="9" t="str">
        <x:v>r04-ci-03</x:v>
      </x:c>
      <x:c r="L147" s="9" t="str">
        <x:v>宋祁《玉楼春·东城渐觉风光好》</x:v>
      </x:c>
      <x:c r="M147" s="9" t="str">
        <x:v>为君持酒劝斜阳，且向花间留晚照。</x:v>
      </x:c>
      <x:c r="N147" s="9" t="str">
        <x:v>春游惜景，劝留斜阳是想象；不让客人因挽留而勉强饮酒。</x:v>
      </x:c>
      <x:c r="O147" s="9" t="str">
        <x:v>好友知己</x:v>
      </x:c>
      <x:c r="P147" s="9" t="str">
        <x:v>未限定</x:v>
      </x:c>
      <x:c r="Q147" s="9" t="str">
        <x:v>未限定</x:v>
      </x:c>
      <x:c r="R147" s="9" t="str">
        <x:v>引句后整理</x:v>
      </x:c>
      <x:c r="S147" s="9" t="str">
        <x:v>雅致</x:v>
      </x:c>
      <x:c r="T147" s="9" t="str">
        <x:v>我以茶代酒，心意一样真。</x:v>
      </x:c>
      <x:c r="U147" s="9" t="str">
        <x:v>With tea in my cup and the same warm wishes.</x:v>
      </x:c>
      <x:c r="V147" s="9" t="str">
        <x:v>宋祁写过：“为君持酒劝斜阳，且向花间留晚照。”古人想把晚照留下，咱们也想让好时光慢一点。这杯敬朋友，愿常有空见面，也常有话说。</x:v>
      </x:c>
      <x:c r="W147" s="9" t="str">
        <x:v>宋祁写过：“为君持酒劝斜阳，且向花间留晚照。”古人想把晚照留下，咱们也想让好时光慢一点。这杯敬朋友，愿常有空见面，也常有话说。
这杯敬朋友，愿有空常聚，见面常有新话。</x:v>
      </x:c>
      <x:c r="X147" s="9" t="str">
        <x:v>spoken</x:v>
      </x:c>
      <x:c r="Y147" s="9" t="str">
        <x:v>verse-2</x:v>
      </x:c>
      <x:c r="Z147" s="9" t="str"/>
      <x:c r="AA147" s="12" t="str"/>
    </x:row>
    <x:row r="148" ht="72" customHeight="1">
      <x:c r="A148" s="8" t="str">
        <x:v>r04-ci-04-1</x:v>
      </x:c>
      <x:c r="B148" s="10" t="n">
        <x:v>1</x:v>
      </x:c>
      <x:c r="C148" s="8" t="str">
        <x:v>当前推荐</x:v>
      </x:c>
      <x:c r="D148" s="8" t="str">
        <x:v>朋友小聚</x:v>
      </x:c>
      <x:c r="E148" s="8" t="str">
        <x:v>全桌</x:v>
      </x:c>
      <x:c r="F148" s="8" t="str">
        <x:v>终于坐到一桌</x:v>
      </x:c>
      <x:c r="G148" s="8" t="str">
        <x:v>晏几道在《鹧鸪天·彩袖殷勤捧玉钟》里写道：“今宵剩把银釭照，犹恐相逢是梦中。”久别相逢，古人还怕是梦。咱们今天就把人看真，把话聊够。这杯敬难得的一面，愿往后少些久等，多些见面。</x:v>
      </x:c>
      <x:c r="H148" s="8" t="str">
        <x:v>晏几道在《鹧鸪天·彩袖殷勤捧玉钟》里写道：“今宵剩把银釭照，犹恐相逢是梦中。”久别相逢，古人还怕是梦。咱们今天就把人看真，把话聊够。这杯敬难得的一面，愿往后少些久等，多些见面。
这杯敬朋友，愿有空常聚，见面常有新话。</x:v>
      </x:c>
      <x:c r="I148" s="8" t="str">
        <x:v>To the rare joy of a reunion that finally feels real.</x:v>
      </x:c>
      <x:c r="J148" s="8" t="str">
        <x:v>敬终于成真的重逢，难得而欢喜。</x:v>
      </x:c>
      <x:c r="K148" s="8" t="str">
        <x:v>r04-ci-04</x:v>
      </x:c>
      <x:c r="L148" s="8" t="str">
        <x:v>晏几道《鹧鸪天·彩袖殷勤捧玉钟》</x:v>
      </x:c>
      <x:c r="M148" s="8" t="str">
        <x:v>今宵剩把银釭照，犹恐相逢是梦中。</x:v>
      </x:c>
      <x:c r="N148" s="8" t="str">
        <x:v>追忆歌舞、久别重逢，喜中含悲；银釭为灯，此处借真实相见的珍惜。</x:v>
      </x:c>
      <x:c r="O148" s="8" t="str">
        <x:v>好友知己</x:v>
      </x:c>
      <x:c r="P148" s="8" t="str">
        <x:v>未限定</x:v>
      </x:c>
      <x:c r="Q148" s="8" t="str">
        <x:v>未限定</x:v>
      </x:c>
      <x:c r="R148" s="8" t="str">
        <x:v>引句后整理</x:v>
      </x:c>
      <x:c r="S148" s="8" t="str">
        <x:v>雅致</x:v>
      </x:c>
      <x:c r="T148" s="8" t="str">
        <x:v>我以茶代酒，心意一样真。</x:v>
      </x:c>
      <x:c r="U148" s="8" t="str">
        <x:v>With tea in my cup and the same warm wishes.</x:v>
      </x:c>
      <x:c r="V148" s="8" t="str">
        <x:v>晏几道在《鹧鸪天·彩袖殷勤捧玉钟》里写道：“今宵剩把银釭照，犹恐相逢是梦中。”久别相逢，古人还怕是梦。咱们今天就把人看真，把话聊够。这杯敬难得的一面，愿往后少些久等，多些见面。</x:v>
      </x:c>
      <x:c r="W148" s="8" t="str">
        <x:v>晏几道在《鹧鸪天·彩袖殷勤捧玉钟》里写道：“今宵剩把银釭照，犹恐相逢是梦中。”久别相逢，古人还怕是梦。咱们今天就把人看真，把话聊够。这杯敬难得的一面，愿往后少些久等，多些见面。
这杯敬朋友，愿有空常聚，见面常有新话。</x:v>
      </x:c>
      <x:c r="X148" s="8" t="str">
        <x:v>spoken</x:v>
      </x:c>
      <x:c r="Y148" s="8" t="str">
        <x:v>verse-3</x:v>
      </x:c>
      <x:c r="Z148" s="8" t="str"/>
      <x:c r="AA148" s="12" t="str"/>
    </x:row>
    <x:row r="149" ht="57" customHeight="1">
      <x:c r="A149" s="9" t="str">
        <x:v>r04-ci-12-1</x:v>
      </x:c>
      <x:c r="B149" s="11" t="n">
        <x:v>1</x:v>
      </x:c>
      <x:c r="C149" s="9" t="str">
        <x:v>当前推荐</x:v>
      </x:c>
      <x:c r="D149" s="9" t="str">
        <x:v>朋友小聚</x:v>
      </x:c>
      <x:c r="E149" s="9" t="str">
        <x:v>全桌</x:v>
      </x:c>
      <x:c r="F149" s="9" t="str">
        <x:v>给忙碌留一点空</x:v>
      </x:c>
      <x:c r="G149" s="9" t="str">
        <x:v>苏轼写过：“敲门都不应，倚杖听江声。”词里门没敲开，倒听见了江声。今天也愿咱们从忙碌里退开一小会儿，把朋友的话听清，把这顿饭吃香。</x:v>
      </x:c>
      <x:c r="H149" s="9" t="str">
        <x:v>苏轼写过：“敲门都不应，倚杖听江声。”词里门没敲开，倒听见了江声。今天也愿咱们从忙碌里退开一小会儿，把朋友的话听清，把这顿饭吃香。
这杯敬朋友，愿有空常聚，见面常有新话。</x:v>
      </x:c>
      <x:c r="I149" s="9" t="str">
        <x:v>To stepping out of the rush and hearing each other properly.</x:v>
      </x:c>
      <x:c r="J149" s="9" t="str">
        <x:v>愿暂缓忙碌，好好听彼此说话。</x:v>
      </x:c>
      <x:c r="K149" s="9" t="str">
        <x:v>r04-ci-12</x:v>
      </x:c>
      <x:c r="L149" s="9" t="str">
        <x:v>苏轼《临江仙·夜归临皋》</x:v>
      </x:c>
      <x:c r="M149" s="9" t="str">
        <x:v>敲门都不应，倚杖听江声。</x:v>
      </x:c>
      <x:c r="N149" s="9" t="str">
        <x:v>夜归与超脱之想；书注指出小舟远去非实际出逃，不鼓励失约夜归或醉酒。</x:v>
      </x:c>
      <x:c r="O149" s="9" t="str">
        <x:v>好友知己</x:v>
      </x:c>
      <x:c r="P149" s="9" t="str">
        <x:v>未限定</x:v>
      </x:c>
      <x:c r="Q149" s="9" t="str">
        <x:v>未限定</x:v>
      </x:c>
      <x:c r="R149" s="9" t="str">
        <x:v>引句后整理</x:v>
      </x:c>
      <x:c r="S149" s="9" t="str">
        <x:v>雅致</x:v>
      </x:c>
      <x:c r="T149" s="9" t="str">
        <x:v>我以茶代酒，心意一样真。</x:v>
      </x:c>
      <x:c r="U149" s="9" t="str">
        <x:v>With tea in my cup and the same warm wishes.</x:v>
      </x:c>
      <x:c r="V149" s="9" t="str">
        <x:v>苏轼写过：“敲门都不应，倚杖听江声。”词里门没敲开，倒听见了江声。今天也愿咱们从忙碌里退开一小会儿，把朋友的话听清，把这顿饭吃香。</x:v>
      </x:c>
      <x:c r="W149" s="9" t="str">
        <x:v>苏轼写过：“敲门都不应，倚杖听江声。”词里门没敲开，倒听见了江声。今天也愿咱们从忙碌里退开一小会儿，把朋友的话听清，把这顿饭吃香。
这杯敬朋友，愿有空常聚，见面常有新话。</x:v>
      </x:c>
      <x:c r="X149" s="9" t="str">
        <x:v>spoken</x:v>
      </x:c>
      <x:c r="Y149" s="9" t="str">
        <x:v>verse-3</x:v>
      </x:c>
      <x:c r="Z149" s="9" t="str"/>
      <x:c r="AA149" s="12" t="str"/>
    </x:row>
    <x:row r="150" ht="72" customHeight="1">
      <x:c r="A150" s="8" t="str">
        <x:v>r04-ci-13-1</x:v>
      </x:c>
      <x:c r="B150" s="10" t="n">
        <x:v>1</x:v>
      </x:c>
      <x:c r="C150" s="8" t="str">
        <x:v>当前推荐</x:v>
      </x:c>
      <x:c r="D150" s="8" t="str">
        <x:v>朋友小聚</x:v>
      </x:c>
      <x:c r="E150" s="8" t="str">
        <x:v>全桌</x:v>
      </x:c>
      <x:c r="F150" s="8" t="str">
        <x:v>愿有人听得懂</x:v>
      </x:c>
      <x:c r="G150" s="8" t="str">
        <x:v>苏轼在《卜算子·黄州定慧院寓居作》里写道：“谁见幽人独往来，缥缈孤鸿影。”这阕词写得孤清，所以今天更想敬身边的朋友：愿你想说的话有人肯听，安静的时候，也有人懂得不催。</x:v>
      </x:c>
      <x:c r="H150" s="8" t="str">
        <x:v>苏轼在《卜算子·黄州定慧院寓居作》里写道：“谁见幽人独往来，缥缈孤鸿影。”这阕词写得孤清，所以今天更想敬身边的朋友：愿你想说的话有人肯听，安静的时候，也有人懂得不催。
这杯敬朋友，愿有空常聚，见面常有新话。</x:v>
      </x:c>
      <x:c r="I150" s="8" t="str">
        <x:v>To being understood, even on the days when words are hard to find.</x:v>
      </x:c>
      <x:c r="J150" s="8" t="str">
        <x:v>愿词穷的时候，也有人懂得。</x:v>
      </x:c>
      <x:c r="K150" s="8" t="str">
        <x:v>r04-ci-13</x:v>
      </x:c>
      <x:c r="L150" s="8" t="str">
        <x:v>苏轼《卜算子·黄州定慧院寓居作》</x:v>
      </x:c>
      <x:c r="M150" s="8" t="str">
        <x:v>谁见幽人独往来，缥缈孤鸿影。</x:v>
      </x:c>
      <x:c r="N150" s="8" t="str">
        <x:v>孤鸿寄托孤独自守；不把原作说成欢乐宴饮，只引出愿人被理解的编辑祝愿。</x:v>
      </x:c>
      <x:c r="O150" s="8" t="str">
        <x:v>好友知己</x:v>
      </x:c>
      <x:c r="P150" s="8" t="str">
        <x:v>未限定</x:v>
      </x:c>
      <x:c r="Q150" s="8" t="str">
        <x:v>未限定</x:v>
      </x:c>
      <x:c r="R150" s="8" t="str">
        <x:v>引句后整理</x:v>
      </x:c>
      <x:c r="S150" s="8" t="str">
        <x:v>雅致</x:v>
      </x:c>
      <x:c r="T150" s="8" t="str">
        <x:v>我以茶代酒，心意一样真。</x:v>
      </x:c>
      <x:c r="U150" s="8" t="str">
        <x:v>With tea in my cup and the same warm wishes.</x:v>
      </x:c>
      <x:c r="V150" s="8" t="str">
        <x:v>苏轼在《卜算子·黄州定慧院寓居作》里写道：“谁见幽人独往来，缥缈孤鸿影。”这阕词写得孤清，所以今天更想敬身边的朋友：愿你想说的话有人肯听，安静的时候，也有人懂得不催。</x:v>
      </x:c>
      <x:c r="W150" s="8" t="str">
        <x:v>苏轼在《卜算子·黄州定慧院寓居作》里写道：“谁见幽人独往来，缥缈孤鸿影。”这阕词写得孤清，所以今天更想敬身边的朋友：愿你想说的话有人肯听，安静的时候，也有人懂得不催。
这杯敬朋友，愿有空常聚，见面常有新话。</x:v>
      </x:c>
      <x:c r="X150" s="8" t="str">
        <x:v>spoken</x:v>
      </x:c>
      <x:c r="Y150" s="8" t="str">
        <x:v>verse-0</x:v>
      </x:c>
      <x:c r="Z150" s="8" t="str"/>
      <x:c r="AA150" s="12" t="str"/>
    </x:row>
    <x:row r="151" ht="57" customHeight="1">
      <x:c r="A151" s="9" t="str">
        <x:v>r04-ci-15-1</x:v>
      </x:c>
      <x:c r="B151" s="11" t="n">
        <x:v>1</x:v>
      </x:c>
      <x:c r="C151" s="9" t="str">
        <x:v>当前推荐</x:v>
      </x:c>
      <x:c r="D151" s="9" t="str">
        <x:v>朋友小聚</x:v>
      </x:c>
      <x:c r="E151" s="9" t="str">
        <x:v>全桌</x:v>
      </x:c>
      <x:c r="F151" s="9" t="str">
        <x:v>留住一点闲</x:v>
      </x:c>
      <x:c r="G151" s="9" t="str">
        <x:v>秦观写过：“持酒劝云云且住”秦观连云都想留一留。今天咱们留不住时间，就把这会儿用好：饭趁热，话慢慢说，朋友多见一面是一面。</x:v>
      </x:c>
      <x:c r="H151" s="9" t="str">
        <x:v>秦观写过：“持酒劝云云且住”秦观连云都想留一留。今天咱们留不住时间，就把这会儿用好：饭趁热，话慢慢说，朋友多见一面是一面。
这杯敬朋友，愿有空常聚，见面常有新话。</x:v>
      </x:c>
      <x:c r="I151" s="9" t="str">
        <x:v>To another chance to meet, with more stories to share.</x:v>
      </x:c>
      <x:c r="J151" s="9" t="str">
        <x:v>盼再相见，也有更多话可聊。</x:v>
      </x:c>
      <x:c r="K151" s="9" t="str">
        <x:v>r04-ci-15</x:v>
      </x:c>
      <x:c r="L151" s="9" t="str">
        <x:v>秦观《蝶恋花·晓日窥轩双燕语》</x:v>
      </x:c>
      <x:c r="M151" s="9" t="str">
        <x:v>持酒劝云云且住</x:v>
      </x:c>
      <x:c r="N151" s="9" t="str">
        <x:v>拟人留云以惜春，非实际天气；不把惜春写成必定成功的承诺。</x:v>
      </x:c>
      <x:c r="O151" s="9" t="str">
        <x:v>好友知己</x:v>
      </x:c>
      <x:c r="P151" s="9" t="str">
        <x:v>未限定</x:v>
      </x:c>
      <x:c r="Q151" s="9" t="str">
        <x:v>未限定</x:v>
      </x:c>
      <x:c r="R151" s="9" t="str">
        <x:v>引句后整理</x:v>
      </x:c>
      <x:c r="S151" s="9" t="str">
        <x:v>雅致</x:v>
      </x:c>
      <x:c r="T151" s="9" t="str">
        <x:v>我以茶代酒，心意一样真。</x:v>
      </x:c>
      <x:c r="U151" s="9" t="str">
        <x:v>With tea in my cup and the same warm wishes.</x:v>
      </x:c>
      <x:c r="V151" s="9" t="str">
        <x:v>秦观写过：“持酒劝云云且住”秦观连云都想留一留。今天咱们留不住时间，就把这会儿用好：饭趁热，话慢慢说，朋友多见一面是一面。</x:v>
      </x:c>
      <x:c r="W151" s="9" t="str">
        <x:v>秦观写过：“持酒劝云云且住”秦观连云都想留一留。今天咱们留不住时间，就把这会儿用好：饭趁热，话慢慢说，朋友多见一面是一面。
这杯敬朋友，愿有空常聚，见面常有新话。</x:v>
      </x:c>
      <x:c r="X151" s="9" t="str">
        <x:v>spoken</x:v>
      </x:c>
      <x:c r="Y151" s="9" t="str">
        <x:v>verse-2</x:v>
      </x:c>
      <x:c r="Z151" s="9" t="str"/>
      <x:c r="AA151" s="12" t="str"/>
    </x:row>
    <x:row r="152" ht="72" customHeight="1">
      <x:c r="A152" s="8" t="str">
        <x:v>r04-ci-16-2</x:v>
      </x:c>
      <x:c r="B152" s="10" t="n">
        <x:v>1</x:v>
      </x:c>
      <x:c r="C152" s="8" t="str">
        <x:v>当前推荐</x:v>
      </x:c>
      <x:c r="D152" s="8" t="str">
        <x:v>朋友小聚</x:v>
      </x:c>
      <x:c r="E152" s="8" t="str">
        <x:v>全桌</x:v>
      </x:c>
      <x:c r="F152" s="8" t="str">
        <x:v>心里留一处清凉 · 再说一句</x:v>
      </x:c>
      <x:c r="G152" s="8" t="str">
        <x:v>词人隔着远路还惦记旧伴。咱们今天既见到了，就多聊一点近况，往后不常见，也别少了问候。借诗词中的一句：“水面清圆，一一风荷举。”</x:v>
      </x:c>
      <x:c r="H152" s="8" t="str">
        <x:v>词人隔着远路还惦记旧伴。咱们今天既见到了，就多聊一点近况，往后不常见，也别少了问候。
周邦彦在《苏幕遮·燎沉香》里写道：“水面清圆，一一风荷举。”这杯敬朋友，愿有空常聚，见面常有新话。</x:v>
      </x:c>
      <x:c r="I152" s="8" t="str">
        <x:v>To a little peace, a little beauty, and friends we remember across the miles. Here is to another good day together.</x:v>
      </x:c>
      <x:c r="J152" s="8" t="str">
        <x:v>愿有清静、有好景，也有远方惦记的朋友。也盼再有同聚的好日子。</x:v>
      </x:c>
      <x:c r="K152" s="8" t="str">
        <x:v>r04-ci-16</x:v>
      </x:c>
      <x:c r="L152" s="8" t="str">
        <x:v>周邦彦《苏幕遮·燎沉香》</x:v>
      </x:c>
      <x:c r="M152" s="8" t="str">
        <x:v>水面清圆，一一风荷举。</x:v>
      </x:c>
      <x:c r="N152" s="8" t="str">
        <x:v>夏荷与思乡，故乡友伴之念；借意象不造今天有荷塘。</x:v>
      </x:c>
      <x:c r="O152" s="8" t="str">
        <x:v>好友知己</x:v>
      </x:c>
      <x:c r="P152" s="8" t="str">
        <x:v>未限定</x:v>
      </x:c>
      <x:c r="Q152" s="8" t="str">
        <x:v>未限定</x:v>
      </x:c>
      <x:c r="R152" s="8" t="str">
        <x:v>引句后整理</x:v>
      </x:c>
      <x:c r="S152" s="8" t="str">
        <x:v>雅致</x:v>
      </x:c>
      <x:c r="T152" s="8" t="str">
        <x:v>我以茶代酒，心意一样真。</x:v>
      </x:c>
      <x:c r="U152" s="8" t="str">
        <x:v>With tea in my cup and the same warm wishes.</x:v>
      </x:c>
      <x:c r="V152" s="8" t="str">
        <x:v>词人隔着远路还惦记旧伴。咱们今天既见到了，就多聊一点近况，往后不常见，也别少了问候。借诗词中的一句：“水面清圆，一一风荷举。”</x:v>
      </x:c>
      <x:c r="W152" s="8" t="str">
        <x:v>词人隔着远路还惦记旧伴。咱们今天既见到了，就多聊一点近况，往后不常见，也别少了问候。
周邦彦在《苏幕遮·燎沉香》里写道：“水面清圆，一一风荷举。”这杯敬朋友，愿有空常聚，见面常有新话。</x:v>
      </x:c>
      <x:c r="X152" s="8" t="str">
        <x:v>spoken</x:v>
      </x:c>
      <x:c r="Y152" s="8" t="str">
        <x:v>verse-3</x:v>
      </x:c>
      <x:c r="Z152" s="8" t="str"/>
      <x:c r="AA152" s="12" t="str"/>
    </x:row>
    <x:row r="153" ht="72" customHeight="1">
      <x:c r="A153" s="9" t="str">
        <x:v>r04-ci-19-1</x:v>
      </x:c>
      <x:c r="B153" s="11" t="n">
        <x:v>1</x:v>
      </x:c>
      <x:c r="C153" s="9" t="str">
        <x:v>当前推荐</x:v>
      </x:c>
      <x:c r="D153" s="9" t="str">
        <x:v>朋友小聚</x:v>
      </x:c>
      <x:c r="E153" s="9" t="str">
        <x:v>全桌</x:v>
      </x:c>
      <x:c r="F153" s="9" t="str">
        <x:v>给欢笑留个位置</x:v>
      </x:c>
      <x:c r="G153" s="9" t="str">
        <x:v>辛弃疾在《西江月·遣兴》里写道：“醉里且贪欢笑，要愁那得工夫。”辛弃疾连松树都能聊两句，今天咱们有真人同桌，就不难为松树了。敬朋友，愿烦恼暂歇，笑话常有。</x:v>
      </x:c>
      <x:c r="H153" s="9" t="str">
        <x:v>辛弃疾在《西江月·遣兴》里写道：“醉里且贪欢笑，要愁那得工夫。”辛弃疾连松树都能聊两句，今天咱们有真人同桌，就不难为松树了。敬朋友，愿烦恼暂歇，笑话常有。
这杯敬朋友，愿有空常聚，见面常有新话。</x:v>
      </x:c>
      <x:c r="I153" s="9" t="str">
        <x:v>To laughter without pressure and an evening everyone can enjoy.</x:v>
      </x:c>
      <x:c r="J153" s="9" t="str">
        <x:v>愿笑得轻松，让每个人都能尽兴。</x:v>
      </x:c>
      <x:c r="K153" s="9" t="str">
        <x:v>r04-ci-19</x:v>
      </x:c>
      <x:c r="L153" s="9" t="str">
        <x:v>辛弃疾《西江月·遣兴》</x:v>
      </x:c>
      <x:c r="M153" s="9" t="str">
        <x:v>醉里且贪欢笑，要愁那得工夫。</x:v>
      </x:c>
      <x:c r="N153" s="9" t="str">
        <x:v>醉态拟人含自嘲；不宣扬饮醉、读书无用，也不把原作看作单纯劝乐。</x:v>
      </x:c>
      <x:c r="O153" s="9" t="str">
        <x:v>好友知己</x:v>
      </x:c>
      <x:c r="P153" s="9" t="str">
        <x:v>未限定</x:v>
      </x:c>
      <x:c r="Q153" s="9" t="str">
        <x:v>未限定</x:v>
      </x:c>
      <x:c r="R153" s="9" t="str">
        <x:v>引句后整理</x:v>
      </x:c>
      <x:c r="S153" s="9" t="str">
        <x:v>雅致</x:v>
      </x:c>
      <x:c r="T153" s="9" t="str">
        <x:v>我以茶代酒，心意一样真。</x:v>
      </x:c>
      <x:c r="U153" s="9" t="str">
        <x:v>With tea in my cup and the same warm wishes.</x:v>
      </x:c>
      <x:c r="V153" s="9" t="str">
        <x:v>辛弃疾在《西江月·遣兴》里写道：“醉里且贪欢笑，要愁那得工夫。”辛弃疾连松树都能聊两句，今天咱们有真人同桌，就不难为松树了。敬朋友，愿烦恼暂歇，笑话常有。</x:v>
      </x:c>
      <x:c r="W153" s="9" t="str">
        <x:v>辛弃疾在《西江月·遣兴》里写道：“醉里且贪欢笑，要愁那得工夫。”辛弃疾连松树都能聊两句，今天咱们有真人同桌，就不难为松树了。敬朋友，愿烦恼暂歇，笑话常有。
这杯敬朋友，愿有空常聚，见面常有新话。</x:v>
      </x:c>
      <x:c r="X153" s="9" t="str">
        <x:v>spoken</x:v>
      </x:c>
      <x:c r="Y153" s="9" t="str">
        <x:v>verse-2</x:v>
      </x:c>
      <x:c r="Z153" s="9" t="str"/>
      <x:c r="AA153" s="12" t="str"/>
    </x:row>
    <x:row r="154" ht="57" customHeight="1">
      <x:c r="A154" s="8" t="str">
        <x:v>r04-ci-21-1</x:v>
      </x:c>
      <x:c r="B154" s="10" t="n">
        <x:v>1</x:v>
      </x:c>
      <x:c r="C154" s="8" t="str">
        <x:v>当前推荐</x:v>
      </x:c>
      <x:c r="D154" s="8" t="str">
        <x:v>朋友小聚</x:v>
      </x:c>
      <x:c r="E154" s="8" t="str">
        <x:v>全桌</x:v>
      </x:c>
      <x:c r="F154" s="8" t="str">
        <x:v>得闲也有得闲的好</x:v>
      </x:c>
      <x:c r="G154" s="8" t="str">
        <x:v>辛弃疾写过：“一丘一壑也风流。”古人闲下来，也能在山水间找到兴味。今天敬朋友，愿我们除了忙出成绩，也能闲出一点自己的趣。</x:v>
      </x:c>
      <x:c r="H154" s="8" t="str">
        <x:v>辛弃疾写过：“一丘一壑也风流。”古人闲下来，也能在山水间找到兴味。今天敬朋友，愿我们除了忙出成绩，也能闲出一点自己的趣。
这杯敬朋友，愿有空常聚，见面常有新话。</x:v>
      </x:c>
      <x:c r="I154" s="8" t="str">
        <x:v>To rest that feels good and interests that remain our own.</x:v>
      </x:c>
      <x:c r="J154" s="8" t="str">
        <x:v>愿休息安心，也留住自己的兴趣。</x:v>
      </x:c>
      <x:c r="K154" s="8" t="str">
        <x:v>r04-ci-21</x:v>
      </x:c>
      <x:c r="L154" s="8" t="str">
        <x:v>辛弃疾《鹧鸪天·鹅湖归病起作》</x:v>
      </x:c>
      <x:c r="M154" s="8" t="str">
        <x:v>一丘一壑也风流。</x:v>
      </x:c>
      <x:c r="N154" s="8" t="str">
        <x:v>病起闲居仍有身世之感；借闲处自得，不暗示用户生病或衰老。</x:v>
      </x:c>
      <x:c r="O154" s="8" t="str">
        <x:v>好友知己</x:v>
      </x:c>
      <x:c r="P154" s="8" t="str">
        <x:v>未限定</x:v>
      </x:c>
      <x:c r="Q154" s="8" t="str">
        <x:v>未限定</x:v>
      </x:c>
      <x:c r="R154" s="8" t="str">
        <x:v>引句后整理</x:v>
      </x:c>
      <x:c r="S154" s="8" t="str">
        <x:v>雅致</x:v>
      </x:c>
      <x:c r="T154" s="8" t="str">
        <x:v>我以茶代酒，心意一样真。</x:v>
      </x:c>
      <x:c r="U154" s="8" t="str">
        <x:v>With tea in my cup and the same warm wishes.</x:v>
      </x:c>
      <x:c r="V154" s="8" t="str">
        <x:v>辛弃疾写过：“一丘一壑也风流。”古人闲下来，也能在山水间找到兴味。今天敬朋友，愿我们除了忙出成绩，也能闲出一点自己的趣。</x:v>
      </x:c>
      <x:c r="W154" s="8" t="str">
        <x:v>辛弃疾写过：“一丘一壑也风流。”古人闲下来，也能在山水间找到兴味。今天敬朋友，愿我们除了忙出成绩，也能闲出一点自己的趣。
这杯敬朋友，愿有空常聚，见面常有新话。</x:v>
      </x:c>
      <x:c r="X154" s="8" t="str">
        <x:v>spoken</x:v>
      </x:c>
      <x:c r="Y154" s="8" t="str">
        <x:v>verse-0</x:v>
      </x:c>
      <x:c r="Z154" s="8" t="str"/>
      <x:c r="AA154" s="12" t="str"/>
    </x:row>
    <x:row r="155" ht="57" customHeight="1">
      <x:c r="A155" s="9" t="str">
        <x:v>r04-ci-22-1</x:v>
      </x:c>
      <x:c r="B155" s="11" t="n">
        <x:v>1</x:v>
      </x:c>
      <x:c r="C155" s="9" t="str">
        <x:v>当前推荐</x:v>
      </x:c>
      <x:c r="D155" s="9" t="str">
        <x:v>朋友小聚</x:v>
      </x:c>
      <x:c r="E155" s="9" t="str">
        <x:v>全桌</x:v>
      </x:c>
      <x:c r="F155" s="9" t="str">
        <x:v>懂得就很珍贵</x:v>
      </x:c>
      <x:c r="G155" s="9" t="str">
        <x:v>辛弃疾在《贺新郎·甚矣吾衰矣》里写道：“知我者，二三子。”这几个字，拿来敬朋友刚好。平时各忙各的，见面还能把话接上，懂得彼此的脾气，就是难得。</x:v>
      </x:c>
      <x:c r="H155" s="9" t="str">
        <x:v>辛弃疾在《贺新郎·甚矣吾衰矣》里写道：“知我者，二三子。”这几个字，拿来敬朋友刚好。平时各忙各的，见面还能把话接上，懂得彼此的脾气，就是难得。
这杯敬朋友，愿有空常聚，见面常有新话。</x:v>
      </x:c>
      <x:c r="I155" s="9" t="str">
        <x:v>To friends with whom we can always pick up the conversation.</x:v>
      </x:c>
      <x:c r="J155" s="9" t="str">
        <x:v>敬见了面总能把话接上的朋友。</x:v>
      </x:c>
      <x:c r="K155" s="9" t="str">
        <x:v>r04-ci-22</x:v>
      </x:c>
      <x:c r="L155" s="9" t="str">
        <x:v>辛弃疾《贺新郎·甚矣吾衰矣》</x:v>
      </x:c>
      <x:c r="M155" s="9" t="str">
        <x:v>知我者，二三子。</x:v>
      </x:c>
      <x:c r="N155" s="9" t="str">
        <x:v>思亲友与自许相杂；二三子指朋友，不译成只有两三位，不预设交游零落。</x:v>
      </x:c>
      <x:c r="O155" s="9" t="str">
        <x:v>好友知己</x:v>
      </x:c>
      <x:c r="P155" s="9" t="str">
        <x:v>未限定</x:v>
      </x:c>
      <x:c r="Q155" s="9" t="str">
        <x:v>未限定</x:v>
      </x:c>
      <x:c r="R155" s="9" t="str">
        <x:v>引句后整理</x:v>
      </x:c>
      <x:c r="S155" s="9" t="str">
        <x:v>雅致</x:v>
      </x:c>
      <x:c r="T155" s="9" t="str">
        <x:v>我以茶代酒，心意一样真。</x:v>
      </x:c>
      <x:c r="U155" s="9" t="str">
        <x:v>With tea in my cup and the same warm wishes.</x:v>
      </x:c>
      <x:c r="V155" s="9" t="str">
        <x:v>辛弃疾在《贺新郎·甚矣吾衰矣》里写道：“知我者，二三子。”这几个字，拿来敬朋友刚好。平时各忙各的，见面还能把话接上，懂得彼此的脾气，就是难得。</x:v>
      </x:c>
      <x:c r="W155" s="9" t="str">
        <x:v>辛弃疾在《贺新郎·甚矣吾衰矣》里写道：“知我者，二三子。”这几个字，拿来敬朋友刚好。平时各忙各的，见面还能把话接上，懂得彼此的脾气，就是难得。
这杯敬朋友，愿有空常聚，见面常有新话。</x:v>
      </x:c>
      <x:c r="X155" s="9" t="str">
        <x:v>spoken</x:v>
      </x:c>
      <x:c r="Y155" s="9" t="str">
        <x:v>verse-1</x:v>
      </x:c>
      <x:c r="Z155" s="9" t="str"/>
      <x:c r="AA155" s="12" t="str"/>
    </x:row>
    <x:row r="156" ht="72" customHeight="1">
      <x:c r="A156" s="8" t="str">
        <x:v>r04-ci-23-2</x:v>
      </x:c>
      <x:c r="B156" s="10" t="n">
        <x:v>1</x:v>
      </x:c>
      <x:c r="C156" s="8" t="str">
        <x:v>当前推荐</x:v>
      </x:c>
      <x:c r="D156" s="8" t="str">
        <x:v>朋友小聚</x:v>
      </x:c>
      <x:c r="E156" s="8" t="str">
        <x:v>全桌</x:v>
      </x:c>
      <x:c r="F156" s="8" t="str">
        <x:v>愿望里有再见 · 再说一句</x:v>
      </x:c>
      <x:c r="G156" s="8" t="str">
        <x:v>这杯只借“岁岁长相见”的好意。愿咱们不只年年在群里问好，也能年年匀出几顿饭，把旧话题聊出新笑声。借诗词中的一句：“三愿如同梁上燕，岁岁长相见。”</x:v>
      </x:c>
      <x:c r="H156" s="8" t="str">
        <x:v>这杯只借“岁岁长相见”的好意。愿咱们不只年年在群里问好，也能年年匀出几顿饭，把旧话题聊出新笑声。
借冯延巳的一句：“三愿如同梁上燕，岁岁长相见。”这杯敬朋友，愿有空常聚，见面常有新话。</x:v>
      </x:c>
      <x:c r="I156" s="8" t="str">
        <x:v>To staying well and making time to see one another again. Here is to another good day together.</x:v>
      </x:c>
      <x:c r="J156" s="8" t="str">
        <x:v>愿彼此安好，也常有相见的时间。也盼再有同聚的好日子。</x:v>
      </x:c>
      <x:c r="K156" s="8" t="str">
        <x:v>r04-ci-23</x:v>
      </x:c>
      <x:c r="L156" s="8" t="str">
        <x:v>冯延巳《长命女·春日宴》</x:v>
      </x:c>
      <x:c r="M156" s="8" t="str">
        <x:v>三愿如同梁上燕，岁岁长相见。</x:v>
      </x:c>
      <x:c r="N156" s="8" t="str">
        <x:v>女子向伴侣陈愿；借常相见的祝愿，不把原作称为普通朋友贺词。</x:v>
      </x:c>
      <x:c r="O156" s="8" t="str">
        <x:v>好友知己</x:v>
      </x:c>
      <x:c r="P156" s="8" t="str">
        <x:v>未限定</x:v>
      </x:c>
      <x:c r="Q156" s="8" t="str">
        <x:v>未限定</x:v>
      </x:c>
      <x:c r="R156" s="8" t="str">
        <x:v>引句后整理</x:v>
      </x:c>
      <x:c r="S156" s="8" t="str">
        <x:v>雅致</x:v>
      </x:c>
      <x:c r="T156" s="8" t="str">
        <x:v>我以茶代酒，心意一样真。</x:v>
      </x:c>
      <x:c r="U156" s="8" t="str">
        <x:v>With tea in my cup and the same warm wishes.</x:v>
      </x:c>
      <x:c r="V156" s="8" t="str">
        <x:v>这杯只借“岁岁长相见”的好意。愿咱们不只年年在群里问好，也能年年匀出几顿饭，把旧话题聊出新笑声。借诗词中的一句：“三愿如同梁上燕，岁岁长相见。”</x:v>
      </x:c>
      <x:c r="W156" s="8" t="str">
        <x:v>这杯只借“岁岁长相见”的好意。愿咱们不只年年在群里问好，也能年年匀出几顿饭，把旧话题聊出新笑声。
借冯延巳的一句：“三愿如同梁上燕，岁岁长相见。”这杯敬朋友，愿有空常聚，见面常有新话。</x:v>
      </x:c>
      <x:c r="X156" s="8" t="str">
        <x:v>spoken</x:v>
      </x:c>
      <x:c r="Y156" s="8" t="str">
        <x:v>verse-2</x:v>
      </x:c>
      <x:c r="Z156" s="8" t="str"/>
      <x:c r="AA156" s="12" t="str"/>
    </x:row>
    <x:row r="157" ht="57" customHeight="1">
      <x:c r="A157" s="9" t="str">
        <x:v>r04-ci-24-2</x:v>
      </x:c>
      <x:c r="B157" s="11" t="n">
        <x:v>1</x:v>
      </x:c>
      <x:c r="C157" s="9" t="str">
        <x:v>当前推荐</x:v>
      </x:c>
      <x:c r="D157" s="9" t="str">
        <x:v>朋友小聚</x:v>
      </x:c>
      <x:c r="E157" s="9" t="str">
        <x:v>全桌</x:v>
      </x:c>
      <x:c r="F157" s="9" t="str">
        <x:v>给心情放一叶船 · 再说一句</x:v>
      </x:c>
      <x:c r="G157" s="9" t="str">
        <x:v>不必真去江南，能和朋友坐下来，听听近况，也有自己的好时光。这杯敬你们，愿日子有忙头，也有闲趣。借诗词中的一句：“春水碧于天，画船听雨眠。”</x:v>
      </x:c>
      <x:c r="H157" s="9" t="str">
        <x:v>不必真去江南，能和朋友坐下来，听听近况，也有自己的好时光。这杯敬你们，愿日子有忙头，也有闲趣。
韦庄写过：“春水碧于天，画船听雨眠。”这杯敬朋友，愿有空常聚，见面常有新话。</x:v>
      </x:c>
      <x:c r="I157" s="9" t="str">
        <x:v>To a peaceful pause, made better by good company. Here is to another good day together.</x:v>
      </x:c>
      <x:c r="J157" s="9" t="str">
        <x:v>愿闲下来的片刻，有人相伴更好。也盼再有同聚的好日子。</x:v>
      </x:c>
      <x:c r="K157" s="9" t="str">
        <x:v>r04-ci-24</x:v>
      </x:c>
      <x:c r="L157" s="9" t="str">
        <x:v>韦庄《菩萨蛮·人人尽说江南好》</x:v>
      </x:c>
      <x:c r="M157" s="9" t="str">
        <x:v>春水碧于天，画船听雨眠。</x:v>
      </x:c>
      <x:c r="N157" s="9" t="str">
        <x:v>羁旅江南的美好中有思乡难归，不将原词整体当作无忧闲居。</x:v>
      </x:c>
      <x:c r="O157" s="9" t="str">
        <x:v>好友知己</x:v>
      </x:c>
      <x:c r="P157" s="9" t="str">
        <x:v>未限定</x:v>
      </x:c>
      <x:c r="Q157" s="9" t="str">
        <x:v>未限定</x:v>
      </x:c>
      <x:c r="R157" s="9" t="str">
        <x:v>引句后整理</x:v>
      </x:c>
      <x:c r="S157" s="9" t="str">
        <x:v>雅致</x:v>
      </x:c>
      <x:c r="T157" s="9" t="str">
        <x:v>我以茶代酒，心意一样真。</x:v>
      </x:c>
      <x:c r="U157" s="9" t="str">
        <x:v>With tea in my cup and the same warm wishes.</x:v>
      </x:c>
      <x:c r="V157" s="9" t="str">
        <x:v>不必真去江南，能和朋友坐下来，听听近况，也有自己的好时光。这杯敬你们，愿日子有忙头，也有闲趣。借诗词中的一句：“春水碧于天，画船听雨眠。”</x:v>
      </x:c>
      <x:c r="W157" s="9" t="str">
        <x:v>不必真去江南，能和朋友坐下来，听听近况，也有自己的好时光。这杯敬你们，愿日子有忙头，也有闲趣。
韦庄写过：“春水碧于天，画船听雨眠。”这杯敬朋友，愿有空常聚，见面常有新话。</x:v>
      </x:c>
      <x:c r="X157" s="9" t="str">
        <x:v>spoken</x:v>
      </x:c>
      <x:c r="Y157" s="9" t="str">
        <x:v>verse-3</x:v>
      </x:c>
      <x:c r="Z157" s="9" t="str"/>
      <x:c r="AA157" s="12" t="str"/>
    </x:row>
    <x:row r="158" ht="57" customHeight="1">
      <x:c r="A158" s="8" t="str">
        <x:v>r04-ci-26-1</x:v>
      </x:c>
      <x:c r="B158" s="10" t="n">
        <x:v>1</x:v>
      </x:c>
      <x:c r="C158" s="8" t="str">
        <x:v>当前推荐</x:v>
      </x:c>
      <x:c r="D158" s="8" t="str">
        <x:v>朋友小聚</x:v>
      </x:c>
      <x:c r="E158" s="8" t="str">
        <x:v>全桌</x:v>
      </x:c>
      <x:c r="F158" s="8" t="str">
        <x:v>有人结伴的欢喜</x:v>
      </x:c>
      <x:c r="G158" s="8" t="str">
        <x:v>借李珣的一句：“带香游女偎伴笑”古人结伴游玩，笑声都写进词里。今天这杯敬朋友，愿我们各自忙得好，得闲也总能找到人一起高兴。</x:v>
      </x:c>
      <x:c r="H158" s="8" t="str">
        <x:v>借李珣的一句：“带香游女偎伴笑”古人结伴游玩，笑声都写进词里。今天这杯敬朋友，愿我们各自忙得好，得闲也总能找到人一起高兴。
这杯敬朋友，愿有空常聚，见面常有新话。</x:v>
      </x:c>
      <x:c r="I158" s="8" t="str">
        <x:v>To the pleasure of doing simple things together.</x:v>
      </x:c>
      <x:c r="J158" s="8" t="str">
        <x:v>敬有人结伴，把寻常事做得有趣。</x:v>
      </x:c>
      <x:c r="K158" s="8" t="str">
        <x:v>r04-ci-26</x:v>
      </x:c>
      <x:c r="L158" s="8" t="str">
        <x:v>李珣《南乡子·乘彩舫》</x:v>
      </x:c>
      <x:c r="M158" s="8" t="str">
        <x:v>带香游女偎伴笑</x:v>
      </x:c>
      <x:c r="N158" s="8" t="str">
        <x:v>写女子结伴采荷游乐；借结伴的笑意，不复现诗中男女与地点。</x:v>
      </x:c>
      <x:c r="O158" s="8" t="str">
        <x:v>好友知己</x:v>
      </x:c>
      <x:c r="P158" s="8" t="str">
        <x:v>未限定</x:v>
      </x:c>
      <x:c r="Q158" s="8" t="str">
        <x:v>未限定</x:v>
      </x:c>
      <x:c r="R158" s="8" t="str">
        <x:v>引句后整理</x:v>
      </x:c>
      <x:c r="S158" s="8" t="str">
        <x:v>雅致</x:v>
      </x:c>
      <x:c r="T158" s="8" t="str">
        <x:v>我以茶代酒，心意一样真。</x:v>
      </x:c>
      <x:c r="U158" s="8" t="str">
        <x:v>With tea in my cup and the same warm wishes.</x:v>
      </x:c>
      <x:c r="V158" s="8" t="str">
        <x:v>借李珣的一句：“带香游女偎伴笑”古人结伴游玩，笑声都写进词里。今天这杯敬朋友，愿我们各自忙得好，得闲也总能找到人一起高兴。</x:v>
      </x:c>
      <x:c r="W158" s="8" t="str">
        <x:v>借李珣的一句：“带香游女偎伴笑”古人结伴游玩，笑声都写进词里。今天这杯敬朋友，愿我们各自忙得好，得闲也总能找到人一起高兴。
这杯敬朋友，愿有空常聚，见面常有新话。</x:v>
      </x:c>
      <x:c r="X158" s="8" t="str">
        <x:v>spoken</x:v>
      </x:c>
      <x:c r="Y158" s="8" t="str">
        <x:v>verse-1</x:v>
      </x:c>
      <x:c r="Z158" s="8" t="str"/>
      <x:c r="AA158" s="12" t="str"/>
    </x:row>
    <x:row r="159" ht="57" customHeight="1">
      <x:c r="A159" s="9" t="str">
        <x:v>r04-ci-27-1</x:v>
      </x:c>
      <x:c r="B159" s="11" t="n">
        <x:v>1</x:v>
      </x:c>
      <x:c r="C159" s="9" t="str">
        <x:v>当前推荐</x:v>
      </x:c>
      <x:c r="D159" s="9" t="str">
        <x:v>朋友小聚</x:v>
      </x:c>
      <x:c r="E159" s="9" t="str">
        <x:v>全桌</x:v>
      </x:c>
      <x:c r="F159" s="9" t="str">
        <x:v>几般蔬果也团圆</x:v>
      </x:c>
      <x:c r="G159" s="9" t="str">
        <x:v>戴复古写过：“一笑且开怀，小阁团栾”戴复古写几般蔬果，也能凑成一回好相聚。今天这杯敬朋友，菜随家常，话随心意，能见着就是好日子。</x:v>
      </x:c>
      <x:c r="H159" s="9" t="str">
        <x:v>戴复古写过：“一笑且开怀，小阁团栾”戴复古写几般蔬果，也能凑成一回好相聚。今天这杯敬朋友，菜随家常，话随心意，能见着就是好日子。
这杯敬朋友，愿有空常聚，见面常有新话。</x:v>
      </x:c>
      <x:c r="I159" s="9" t="str">
        <x:v>To a simple table, a few good things, and people glad to be together.</x:v>
      </x:c>
      <x:c r="J159" s="9" t="str">
        <x:v>家常一桌，几样好食，有人乐意相聚。</x:v>
      </x:c>
      <x:c r="K159" s="9" t="str">
        <x:v>r04-ci-27</x:v>
      </x:c>
      <x:c r="L159" s="9" t="str">
        <x:v>戴复古《洞仙歌·卖花担上》</x:v>
      </x:c>
      <x:c r="M159" s="9" t="str">
        <x:v>一笑且开怀，小阁团栾</x:v>
      </x:c>
      <x:c r="N159" s="9" t="str">
        <x:v>羁旅重阳而自遣，团栾即团聚；不宣称现场重阳或必有家乡人。</x:v>
      </x:c>
      <x:c r="O159" s="9" t="str">
        <x:v>好友知己</x:v>
      </x:c>
      <x:c r="P159" s="9" t="str">
        <x:v>未限定</x:v>
      </x:c>
      <x:c r="Q159" s="9" t="str">
        <x:v>未限定</x:v>
      </x:c>
      <x:c r="R159" s="9" t="str">
        <x:v>引句后整理</x:v>
      </x:c>
      <x:c r="S159" s="9" t="str">
        <x:v>雅致</x:v>
      </x:c>
      <x:c r="T159" s="9" t="str">
        <x:v>我以茶代酒，心意一样真。</x:v>
      </x:c>
      <x:c r="U159" s="9" t="str">
        <x:v>With tea in my cup and the same warm wishes.</x:v>
      </x:c>
      <x:c r="V159" s="9" t="str">
        <x:v>戴复古写过：“一笑且开怀，小阁团栾”戴复古写几般蔬果，也能凑成一回好相聚。今天这杯敬朋友，菜随家常，话随心意，能见着就是好日子。</x:v>
      </x:c>
      <x:c r="W159" s="9" t="str">
        <x:v>戴复古写过：“一笑且开怀，小阁团栾”戴复古写几般蔬果，也能凑成一回好相聚。今天这杯敬朋友，菜随家常，话随心意，能见着就是好日子。
这杯敬朋友，愿有空常聚，见面常有新话。</x:v>
      </x:c>
      <x:c r="X159" s="9" t="str">
        <x:v>spoken</x:v>
      </x:c>
      <x:c r="Y159" s="9" t="str">
        <x:v>verse-2</x:v>
      </x:c>
      <x:c r="Z159" s="9" t="str"/>
      <x:c r="AA159" s="12" t="str"/>
    </x:row>
    <x:row r="160" ht="57" customHeight="1">
      <x:c r="A160" s="8" t="str">
        <x:v>r04-shi-1223-1</x:v>
      </x:c>
      <x:c r="B160" s="10" t="n">
        <x:v>1</x:v>
      </x:c>
      <x:c r="C160" s="8" t="str">
        <x:v>当前推荐</x:v>
      </x:c>
      <x:c r="D160" s="8" t="str">
        <x:v>朋友小聚</x:v>
      </x:c>
      <x:c r="E160" s="8" t="str">
        <x:v>全桌</x:v>
      </x:c>
      <x:c r="F160" s="8" t="str">
        <x:v>一桌见闻一桌笑</x:v>
      </x:c>
      <x:c r="G160" s="8" t="str">
        <x:v>《诗经》里有一句：“来游来歌，以矢其音。”古人相聚有歌，今天咱们有话就好。近况、趣事、烦心事，都可以慢慢讲。这杯敬愿意听，也愿意说的朋友。</x:v>
      </x:c>
      <x:c r="H160" s="8" t="str">
        <x:v>《诗经》里有一句：“来游来歌，以矢其音。”古人相聚有歌，今天咱们有话就好。近况、趣事、烦心事，都可以慢慢讲。这杯敬愿意听，也愿意说的朋友。
这杯敬朋友，愿有空常聚，见面常有新话。</x:v>
      </x:c>
      <x:c r="I160" s="8" t="str">
        <x:v>To everyone who brings a story and everyone who takes time to listen.</x:v>
      </x:c>
      <x:c r="J160" s="8" t="str">
        <x:v>敬愿意分享故事的人，也敬认真倾听的人。</x:v>
      </x:c>
      <x:c r="K160" s="8" t="str">
        <x:v>r04-shi-1223</x:v>
      </x:c>
      <x:c r="L160" s="8" t="str">
        <x:v>《诗经·卷阿》</x:v>
      </x:c>
      <x:c r="M160" s="8" t="str">
        <x:v>来游来歌，以矢其音。</x:v>
      </x:c>
      <x:c r="N160" s="8" t="str">
        <x:v>原为颂美、求贤的诗；矢陈述，借相聚歌咏，不挪用君臣身份。</x:v>
      </x:c>
      <x:c r="O160" s="8" t="str">
        <x:v>好友知己</x:v>
      </x:c>
      <x:c r="P160" s="8" t="str">
        <x:v>未限定</x:v>
      </x:c>
      <x:c r="Q160" s="8" t="str">
        <x:v>未限定</x:v>
      </x:c>
      <x:c r="R160" s="8" t="str">
        <x:v>引句后整理</x:v>
      </x:c>
      <x:c r="S160" s="8" t="str">
        <x:v>雅致</x:v>
      </x:c>
      <x:c r="T160" s="8" t="str">
        <x:v>我以茶代酒，心意一样真。</x:v>
      </x:c>
      <x:c r="U160" s="8" t="str">
        <x:v>With tea in my cup and the same warm wishes.</x:v>
      </x:c>
      <x:c r="V160" s="8" t="str">
        <x:v>《诗经》里有一句：“来游来歌，以矢其音。”古人相聚有歌，今天咱们有话就好。近况、趣事、烦心事，都可以慢慢讲。这杯敬愿意听，也愿意说的朋友。</x:v>
      </x:c>
      <x:c r="W160" s="8" t="str">
        <x:v>《诗经》里有一句：“来游来歌，以矢其音。”古人相聚有歌，今天咱们有话就好。近况、趣事、烦心事，都可以慢慢讲。这杯敬愿意听，也愿意说的朋友。
这杯敬朋友，愿有空常聚，见面常有新话。</x:v>
      </x:c>
      <x:c r="X160" s="8" t="str">
        <x:v>spoken</x:v>
      </x:c>
      <x:c r="Y160" s="8" t="str">
        <x:v>verse-3</x:v>
      </x:c>
      <x:c r="Z160" s="8" t="str"/>
      <x:c r="AA160" s="12" t="str"/>
    </x:row>
    <x:row r="161" ht="72" customHeight="1">
      <x:c r="A161" s="9" t="str">
        <x:v>r04-shi-232-2</x:v>
      </x:c>
      <x:c r="B161" s="11" t="n">
        <x:v>1</x:v>
      </x:c>
      <x:c r="C161" s="9" t="str">
        <x:v>当前推荐</x:v>
      </x:c>
      <x:c r="D161" s="9" t="str">
        <x:v>朋友小聚</x:v>
      </x:c>
      <x:c r="E161" s="9" t="str">
        <x:v>全桌</x:v>
      </x:c>
      <x:c r="F161" s="9" t="str">
        <x:v>玩笑有分寸 · 再说一句</x:v>
      </x:c>
      <x:c r="G161" s="9" t="str">
        <x:v>能一起说笑，也懂得给彼此留面子，这样的朋友值得常聚。这杯敬咱们，话说得开，心也放得下。借诗词中的一句：“善戏谑兮，不为虐兮。”</x:v>
      </x:c>
      <x:c r="H161" s="9" t="str">
        <x:v>能一起说笑，也懂得给彼此留面子，这样的朋友值得常聚。这杯敬咱们，话说得开，心也放得下。
《诗经·淇奥》写道：“善戏谑兮，不为虐兮。”这杯敬朋友，愿有空常聚，见面常有新话。</x:v>
      </x:c>
      <x:c r="I161" s="9" t="str">
        <x:v>To laughter that includes everyone and never comes at another person's expense. Here is to another good day together.</x:v>
      </x:c>
      <x:c r="J161" s="9" t="str">
        <x:v>愿笑声让人亲近，不让任何人为难。也盼再有同聚的好日子。</x:v>
      </x:c>
      <x:c r="K161" s="9" t="str">
        <x:v>r04-shi-232</x:v>
      </x:c>
      <x:c r="L161" s="9" t="str">
        <x:v>《诗经·淇奥》</x:v>
      </x:c>
      <x:c r="M161" s="9" t="str">
        <x:v>善戏谑兮，不为虐兮。</x:v>
      </x:c>
      <x:c r="N161" s="9" t="str">
        <x:v>赞美君子的修养与谈吐；取幽默有分寸，不拿人取笑。</x:v>
      </x:c>
      <x:c r="O161" s="9" t="str">
        <x:v>好友知己</x:v>
      </x:c>
      <x:c r="P161" s="9" t="str">
        <x:v>未限定</x:v>
      </x:c>
      <x:c r="Q161" s="9" t="str">
        <x:v>未限定</x:v>
      </x:c>
      <x:c r="R161" s="9" t="str">
        <x:v>引句后整理</x:v>
      </x:c>
      <x:c r="S161" s="9" t="str">
        <x:v>雅致</x:v>
      </x:c>
      <x:c r="T161" s="9" t="str">
        <x:v>我以茶代酒，心意一样真。</x:v>
      </x:c>
      <x:c r="U161" s="9" t="str">
        <x:v>With tea in my cup and the same warm wishes.</x:v>
      </x:c>
      <x:c r="V161" s="9" t="str">
        <x:v>能一起说笑，也懂得给彼此留面子，这样的朋友值得常聚。这杯敬咱们，话说得开，心也放得下。借诗词中的一句：“善戏谑兮，不为虐兮。”</x:v>
      </x:c>
      <x:c r="W161" s="9" t="str">
        <x:v>能一起说笑，也懂得给彼此留面子，这样的朋友值得常聚。这杯敬咱们，话说得开，心也放得下。
《诗经·淇奥》写道：“善戏谑兮，不为虐兮。”这杯敬朋友，愿有空常聚，见面常有新话。</x:v>
      </x:c>
      <x:c r="X161" s="9" t="str">
        <x:v>spoken</x:v>
      </x:c>
      <x:c r="Y161" s="9" t="str">
        <x:v>verse-1</x:v>
      </x:c>
      <x:c r="Z161" s="9" t="str"/>
      <x:c r="AA161" s="12" t="str"/>
    </x:row>
    <x:row r="162" ht="57" customHeight="1">
      <x:c r="A162" s="8" t="str">
        <x:v>r04-shi-357-1</x:v>
      </x:c>
      <x:c r="B162" s="10" t="n">
        <x:v>1</x:v>
      </x:c>
      <x:c r="C162" s="8" t="str">
        <x:v>当前推荐</x:v>
      </x:c>
      <x:c r="D162" s="8" t="str">
        <x:v>朋友小聚</x:v>
      </x:c>
      <x:c r="E162" s="8" t="str">
        <x:v>全桌</x:v>
      </x:c>
      <x:c r="F162" s="8" t="str">
        <x:v>见面就高兴</x:v>
      </x:c>
      <x:c r="G162" s="8" t="str">
        <x:v>借《诗经》的一句：“既见君子，云胡不喜？”见着人，心情就好了。今天总算把“改天见”落到实处，这杯敬见面，也敬各自忙里偷来的这一晚。</x:v>
      </x:c>
      <x:c r="H162" s="8" t="str">
        <x:v>借《诗经》的一句：“既见君子，云胡不喜？”见着人，心情就好了。今天总算把“改天见”落到实处，这杯敬见面，也敬各自忙里偷来的这一晚。
这杯敬朋友，愿有空常聚，见面常有新话。</x:v>
      </x:c>
      <x:c r="I162" s="8" t="str">
        <x:v>To the simple happiness of finally meeting again.</x:v>
      </x:c>
      <x:c r="J162" s="8" t="str">
        <x:v>敬终于重逢的那份简单欢喜。</x:v>
      </x:c>
      <x:c r="K162" s="8" t="str">
        <x:v>r04-shi-357</x:v>
      </x:c>
      <x:c r="L162" s="8" t="str">
        <x:v>《诗经·风雨》</x:v>
      </x:c>
      <x:c r="M162" s="8" t="str">
        <x:v>既见君子，云胡不喜？</x:v>
      </x:c>
      <x:c r="N162" s="8" t="str">
        <x:v>原为久别相见的喜悦，今借重逢；不声称现场有风雨或彼此有夫妻关系。</x:v>
      </x:c>
      <x:c r="O162" s="8" t="str">
        <x:v>好友知己</x:v>
      </x:c>
      <x:c r="P162" s="8" t="str">
        <x:v>未限定</x:v>
      </x:c>
      <x:c r="Q162" s="8" t="str">
        <x:v>未限定</x:v>
      </x:c>
      <x:c r="R162" s="8" t="str">
        <x:v>引句后整理</x:v>
      </x:c>
      <x:c r="S162" s="8" t="str">
        <x:v>雅致</x:v>
      </x:c>
      <x:c r="T162" s="8" t="str">
        <x:v>我以茶代酒，心意一样真。</x:v>
      </x:c>
      <x:c r="U162" s="8" t="str">
        <x:v>With tea in my cup and the same warm wishes.</x:v>
      </x:c>
      <x:c r="V162" s="8" t="str">
        <x:v>借《诗经》的一句：“既见君子，云胡不喜？”见着人，心情就好了。今天总算把“改天见”落到实处，这杯敬见面，也敬各自忙里偷来的这一晚。</x:v>
      </x:c>
      <x:c r="W162" s="8" t="str">
        <x:v>借《诗经》的一句：“既见君子，云胡不喜？”见着人，心情就好了。今天总算把“改天见”落到实处，这杯敬见面，也敬各自忙里偷来的这一晚。
这杯敬朋友，愿有空常聚，见面常有新话。</x:v>
      </x:c>
      <x:c r="X162" s="8" t="str">
        <x:v>spoken</x:v>
      </x:c>
      <x:c r="Y162" s="8" t="str">
        <x:v>verse-1</x:v>
      </x:c>
      <x:c r="Z162" s="8" t="str"/>
      <x:c r="AA162" s="12" t="str"/>
    </x:row>
    <x:row r="163" ht="57" customHeight="1">
      <x:c r="A163" s="9" t="str">
        <x:v>r04-shi-649-1</x:v>
      </x:c>
      <x:c r="B163" s="11" t="n">
        <x:v>1</x:v>
      </x:c>
      <x:c r="C163" s="9" t="str">
        <x:v>当前推荐</x:v>
      </x:c>
      <x:c r="D163" s="9" t="str">
        <x:v>朋友小聚</x:v>
      </x:c>
      <x:c r="E163" s="9" t="str">
        <x:v>全桌</x:v>
      </x:c>
      <x:c r="F163" s="9" t="str">
        <x:v>朋友有话肯听</x:v>
      </x:c>
      <x:c r="G163" s="9" t="str">
        <x:v>《诗经·伐木》写道：“嘤其鸣矣，求其友声。”鸟尚且寻找应和的声音，人也盼有人肯听。敬咱们，有高兴事能分享，有烦心事也不必一个人憋着。</x:v>
      </x:c>
      <x:c r="H163" s="9" t="str">
        <x:v>《诗经·伐木》写道：“嘤其鸣矣，求其友声。”鸟尚且寻找应和的声音，人也盼有人肯听。敬咱们，有高兴事能分享，有烦心事也不必一个人憋着。
这杯敬朋友，愿有空常聚，见面常有新话。</x:v>
      </x:c>
      <x:c r="I163" s="9" t="str">
        <x:v>To friends who listen to both our good news and our difficult days.</x:v>
      </x:c>
      <x:c r="J163" s="9" t="str">
        <x:v>敬肯听喜讯、也肯听烦恼的朋友。</x:v>
      </x:c>
      <x:c r="K163" s="9" t="str">
        <x:v>r04-shi-649</x:v>
      </x:c>
      <x:c r="L163" s="9" t="str">
        <x:v>《诗经·伐木》</x:v>
      </x:c>
      <x:c r="M163" s="9" t="str">
        <x:v>嘤其鸣矣，求其友声。</x:v>
      </x:c>
      <x:c r="N163" s="9" t="str">
        <x:v>宴请亲朋故旧；友声为同类之声，不等同于只听赞同自己的话。</x:v>
      </x:c>
      <x:c r="O163" s="9" t="str">
        <x:v>好友知己</x:v>
      </x:c>
      <x:c r="P163" s="9" t="str">
        <x:v>未限定</x:v>
      </x:c>
      <x:c r="Q163" s="9" t="str">
        <x:v>未限定</x:v>
      </x:c>
      <x:c r="R163" s="9" t="str">
        <x:v>引句后整理</x:v>
      </x:c>
      <x:c r="S163" s="9" t="str">
        <x:v>雅致</x:v>
      </x:c>
      <x:c r="T163" s="9" t="str">
        <x:v>我以茶代酒，心意一样真。</x:v>
      </x:c>
      <x:c r="U163" s="9" t="str">
        <x:v>With tea in my cup and the same warm wishes.</x:v>
      </x:c>
      <x:c r="V163" s="9" t="str">
        <x:v>《诗经·伐木》写道：“嘤其鸣矣，求其友声。”鸟尚且寻找应和的声音，人也盼有人肯听。敬咱们，有高兴事能分享，有烦心事也不必一个人憋着。</x:v>
      </x:c>
      <x:c r="W163" s="9" t="str">
        <x:v>《诗经·伐木》写道：“嘤其鸣矣，求其友声。”鸟尚且寻找应和的声音，人也盼有人肯听。敬咱们，有高兴事能分享，有烦心事也不必一个人憋着。
这杯敬朋友，愿有空常聚，见面常有新话。</x:v>
      </x:c>
      <x:c r="X163" s="9" t="str">
        <x:v>spoken</x:v>
      </x:c>
      <x:c r="Y163" s="9" t="str">
        <x:v>verse-2</x:v>
      </x:c>
      <x:c r="Z163" s="9" t="str"/>
      <x:c r="AA163" s="12" t="str"/>
    </x:row>
    <x:row r="164" ht="57" customHeight="1">
      <x:c r="A164" s="8" t="str">
        <x:v>r04-shi-697-1</x:v>
      </x:c>
      <x:c r="B164" s="10" t="n">
        <x:v>1</x:v>
      </x:c>
      <x:c r="C164" s="8" t="str">
        <x:v>当前推荐</x:v>
      </x:c>
      <x:c r="D164" s="8" t="str">
        <x:v>朋友小聚</x:v>
      </x:c>
      <x:c r="E164" s="8" t="str">
        <x:v>全桌</x:v>
      </x:c>
      <x:c r="F164" s="8" t="str">
        <x:v>见面心里松快</x:v>
      </x:c>
      <x:c r="G164" s="8" t="str">
        <x:v>《诗经》里有一句：“既见君子，我心写兮。”这个“写”是舒畅的意思。见了朋友，攒着的话终于有处说，心里也松快了。这杯敬你们，也敬这份难得的自在。</x:v>
      </x:c>
      <x:c r="H164" s="8" t="str">
        <x:v>《诗经》里有一句：“既见君子，我心写兮。”这个“写”是舒畅的意思。见了朋友，攒着的话终于有处说，心里也松快了。这杯敬你们，也敬这份难得的自在。
这杯敬朋友，愿有空常聚，见面常有新话。</x:v>
      </x:c>
      <x:c r="I164" s="8" t="str">
        <x:v>To the relief of meeting someone with whom we can speak freely.</x:v>
      </x:c>
      <x:c r="J164" s="8" t="str">
        <x:v>敬见到能自在交谈之人的那份松快。</x:v>
      </x:c>
      <x:c r="K164" s="8" t="str">
        <x:v>r04-shi-697</x:v>
      </x:c>
      <x:c r="L164" s="8" t="str">
        <x:v>《诗经·蓼萧》</x:v>
      </x:c>
      <x:c r="M164" s="8" t="str">
        <x:v>既见君子，我心写兮。</x:v>
      </x:c>
      <x:c r="N164" s="8" t="str">
        <x:v>原有朝见宴饮语境，写通泻、舒畅；借见面后心中舒展，不混作写字。</x:v>
      </x:c>
      <x:c r="O164" s="8" t="str">
        <x:v>好友知己</x:v>
      </x:c>
      <x:c r="P164" s="8" t="str">
        <x:v>未限定</x:v>
      </x:c>
      <x:c r="Q164" s="8" t="str">
        <x:v>未限定</x:v>
      </x:c>
      <x:c r="R164" s="8" t="str">
        <x:v>引句后整理</x:v>
      </x:c>
      <x:c r="S164" s="8" t="str">
        <x:v>雅致</x:v>
      </x:c>
      <x:c r="T164" s="8" t="str">
        <x:v>我以茶代酒，心意一样真。</x:v>
      </x:c>
      <x:c r="U164" s="8" t="str">
        <x:v>With tea in my cup and the same warm wishes.</x:v>
      </x:c>
      <x:c r="V164" s="8" t="str">
        <x:v>《诗经》里有一句：“既见君子，我心写兮。”这个“写”是舒畅的意思。见了朋友，攒着的话终于有处说，心里也松快了。这杯敬你们，也敬这份难得的自在。</x:v>
      </x:c>
      <x:c r="W164" s="8" t="str">
        <x:v>《诗经》里有一句：“既见君子，我心写兮。”这个“写”是舒畅的意思。见了朋友，攒着的话终于有处说，心里也松快了。这杯敬你们，也敬这份难得的自在。
这杯敬朋友，愿有空常聚，见面常有新话。</x:v>
      </x:c>
      <x:c r="X164" s="8" t="str">
        <x:v>spoken</x:v>
      </x:c>
      <x:c r="Y164" s="8" t="str">
        <x:v>verse-3</x:v>
      </x:c>
      <x:c r="Z164" s="8" t="str"/>
      <x:c r="AA164" s="12" t="str"/>
    </x:row>
    <x:row r="165" ht="72" customHeight="1">
      <x:c r="A165" s="9" t="str">
        <x:v>r04-story-01-1</x:v>
      </x:c>
      <x:c r="B165" s="11" t="n">
        <x:v>1</x:v>
      </x:c>
      <x:c r="C165" s="9" t="str">
        <x:v>当前推荐</x:v>
      </x:c>
      <x:c r="D165" s="9" t="str">
        <x:v>朋友小聚</x:v>
      </x:c>
      <x:c r="E165" s="9" t="str">
        <x:v>全桌</x:v>
      </x:c>
      <x:c r="F165" s="9" t="str">
        <x:v>见面让心宽一点</x:v>
      </x:c>
      <x:c r="G165" s="9" t="str">
        <x:v>《世说新语》里记载：“吾时月不见黄叔度，则鄙吝之心已复生矣。”书里说，有些人一见面，就让人心胸开阔。我借这意思敬你们，愿咱们常见面，也常把彼此从琐碎里拉出来透口气。</x:v>
      </x:c>
      <x:c r="H165" s="9" t="str">
        <x:v>《世说新语》里记载：“吾时月不见黄叔度，则鄙吝之心已复生矣。”书里说，有些人一见面，就让人心胸开阔。我借这意思敬你们，愿咱们常见面，也常把彼此从琐碎里拉出来透口气。
这杯敬朋友，愿有空常聚，见面常有新话。</x:v>
      </x:c>
      <x:c r="I165" s="9" t="str">
        <x:v>To people whose presence makes our own hearts a little more generous.</x:v>
      </x:c>
      <x:c r="J165" s="9" t="str">
        <x:v>敬让我们心里更宽厚的人。</x:v>
      </x:c>
      <x:c r="K165" s="9" t="str">
        <x:v>r04-story-01</x:v>
      </x:c>
      <x:c r="L165" s="9" t="str">
        <x:v>《世说新语·德行第二则》周子居忆黄叔度</x:v>
      </x:c>
      <x:c r="M165" s="9" t="str">
        <x:v>吾时月不见黄叔度，则鄙吝之心已复生矣。</x:v>
      </x:c>
      <x:c r="N165" s="9" t="str">
        <x:v>重在与宽厚之人相处的感受；不把朋友未见面说成品德变坏。</x:v>
      </x:c>
      <x:c r="O165" s="9" t="str">
        <x:v>好友知己、月色入杯、夜晚小酌</x:v>
      </x:c>
      <x:c r="P165" s="9" t="str">
        <x:v>未限定</x:v>
      </x:c>
      <x:c r="Q165" s="9" t="str">
        <x:v>未限定</x:v>
      </x:c>
      <x:c r="R165" s="9" t="str">
        <x:v>引句后整理</x:v>
      </x:c>
      <x:c r="S165" s="9" t="str">
        <x:v>雅致</x:v>
      </x:c>
      <x:c r="T165" s="9" t="str">
        <x:v>我以茶代酒，心意一样真。</x:v>
      </x:c>
      <x:c r="U165" s="9" t="str">
        <x:v>With tea in my cup and the same warm wishes.</x:v>
      </x:c>
      <x:c r="V165" s="9" t="str">
        <x:v>《世说新语》里记载：“吾时月不见黄叔度，则鄙吝之心已复生矣。”书里说，有些人一见面，就让人心胸开阔。我借这意思敬你们，愿咱们常见面，也常把彼此从琐碎里拉出来透口气。</x:v>
      </x:c>
      <x:c r="W165" s="9" t="str">
        <x:v>《世说新语》里记载：“吾时月不见黄叔度，则鄙吝之心已复生矣。”书里说，有些人一见面，就让人心胸开阔。我借这意思敬你们，愿咱们常见面，也常把彼此从琐碎里拉出来透口气。
这杯敬朋友，愿有空常聚，见面常有新话。</x:v>
      </x:c>
      <x:c r="X165" s="9" t="str">
        <x:v>spoken</x:v>
      </x:c>
      <x:c r="Y165" s="9" t="str">
        <x:v>story-0</x:v>
      </x:c>
      <x:c r="Z165" s="9" t="str"/>
      <x:c r="AA165" s="12" t="str"/>
    </x:row>
    <x:row r="166" ht="57" customHeight="1">
      <x:c r="A166" s="8" t="str">
        <x:v>r04-story-04-1</x:v>
      </x:c>
      <x:c r="B166" s="10" t="n">
        <x:v>1</x:v>
      </x:c>
      <x:c r="C166" s="8" t="str">
        <x:v>当前推荐</x:v>
      </x:c>
      <x:c r="D166" s="8" t="str">
        <x:v>朋友小聚</x:v>
      </x:c>
      <x:c r="E166" s="8" t="str">
        <x:v>全桌</x:v>
      </x:c>
      <x:c r="F166" s="8" t="str">
        <x:v>应下的事放在心上</x:v>
      </x:c>
      <x:c r="G166" s="8" t="str">
        <x:v>《世说新语》里记载：“既已纳其自托，宁可以急相弃邪？”这则故事讲的是应下之后，不轻易把人丢下。今天借它敬朋友：不说多大的话，有事肯搭把手，就很难得。</x:v>
      </x:c>
      <x:c r="H166" s="8" t="str">
        <x:v>《世说新语》里记载：“既已纳其自托，宁可以急相弃邪？”这则故事讲的是应下之后，不轻易把人丢下。今天借它敬朋友：不说多大的话，有事肯搭把手，就很难得。
这杯敬朋友，愿有空常聚，见面常有新话。</x:v>
      </x:c>
      <x:c r="I166" s="8" t="str">
        <x:v>To promises made carefully and kept with care.</x:v>
      </x:c>
      <x:c r="J166" s="8" t="str">
        <x:v>愿慎重承诺，也认真履行。</x:v>
      </x:c>
      <x:c r="K166" s="8" t="str">
        <x:v>r04-story-04</x:v>
      </x:c>
      <x:c r="L166" s="8" t="str">
        <x:v>《世说新语·德行第十三则》华歆王朗同舟</x:v>
      </x:c>
      <x:c r="M166" s="8" t="str">
        <x:v>既已纳其自托，宁可以急相弃邪？</x:v>
      </x:c>
      <x:c r="N166" s="8" t="str">
        <x:v>笺疏指出当时二人行踪与同行说存在矛盾；作为文本故事取承诺负责之意，不宣称已证实史实。</x:v>
      </x:c>
      <x:c r="O166" s="8" t="str">
        <x:v>好友知己</x:v>
      </x:c>
      <x:c r="P166" s="8" t="str">
        <x:v>未限定</x:v>
      </x:c>
      <x:c r="Q166" s="8" t="str">
        <x:v>未限定</x:v>
      </x:c>
      <x:c r="R166" s="8" t="str">
        <x:v>引句后整理</x:v>
      </x:c>
      <x:c r="S166" s="8" t="str">
        <x:v>雅致</x:v>
      </x:c>
      <x:c r="T166" s="8" t="str">
        <x:v>我以茶代酒，心意一样真。</x:v>
      </x:c>
      <x:c r="U166" s="8" t="str">
        <x:v>With tea in my cup and the same warm wishes.</x:v>
      </x:c>
      <x:c r="V166" s="8" t="str">
        <x:v>《世说新语》里记载：“既已纳其自托，宁可以急相弃邪？”这则故事讲的是应下之后，不轻易把人丢下。今天借它敬朋友：不说多大的话，有事肯搭把手，就很难得。</x:v>
      </x:c>
      <x:c r="W166" s="8" t="str">
        <x:v>《世说新语》里记载：“既已纳其自托，宁可以急相弃邪？”这则故事讲的是应下之后，不轻易把人丢下。今天借它敬朋友：不说多大的话，有事肯搭把手，就很难得。
这杯敬朋友，愿有空常聚，见面常有新话。</x:v>
      </x:c>
      <x:c r="X166" s="8" t="str">
        <x:v>spoken</x:v>
      </x:c>
      <x:c r="Y166" s="8" t="str">
        <x:v>story-3</x:v>
      </x:c>
      <x:c r="Z166" s="8" t="str"/>
      <x:c r="AA166" s="12" t="str"/>
    </x:row>
    <x:row r="167" ht="57" customHeight="1">
      <x:c r="A167" s="9" t="str">
        <x:v>r04-story-06-1</x:v>
      </x:c>
      <x:c r="B167" s="11" t="n">
        <x:v>1</x:v>
      </x:c>
      <x:c r="C167" s="9" t="str">
        <x:v>当前推荐</x:v>
      </x:c>
      <x:c r="D167" s="9" t="str">
        <x:v>朋友小聚</x:v>
      </x:c>
      <x:c r="E167" s="9" t="str">
        <x:v>全桌</x:v>
      </x:c>
      <x:c r="F167" s="9" t="str">
        <x:v>不比家底比自在</x:v>
      </x:c>
      <x:c r="G167" s="9" t="str">
        <x:v>《世说新语》里记载：“恭作人无长物。”“无长物”说的是没多余东西，不是没长处。今天咱们也不比家底、比排场，能自在吃饭，坦诚说话，就很好。</x:v>
      </x:c>
      <x:c r="H167" s="9" t="str">
        <x:v>《世说新语》里记载：“恭作人无长物。”“无长物”说的是没多余东西，不是没长处。今天咱们也不比家底、比排场，能自在吃饭，坦诚说话，就很好。
这杯敬朋友，愿有空常聚，见面常有新话。</x:v>
      </x:c>
      <x:c r="I167" s="9" t="str">
        <x:v>To friendship without a contest of wealth or appearances.</x:v>
      </x:c>
      <x:c r="J167" s="9" t="str">
        <x:v>愿朋友相处，不必比较财富与排场。</x:v>
      </x:c>
      <x:c r="K167" s="9" t="str">
        <x:v>r04-story-06</x:v>
      </x:c>
      <x:c r="L167" s="9" t="str">
        <x:v>《世说新语·德行第四十四则》王恭身无长物</x:v>
      </x:c>
      <x:c r="M167" s="9" t="str">
        <x:v>恭作人无长物。</x:v>
      </x:c>
      <x:c r="N167" s="9" t="str">
        <x:v>长物指多余之物，不是没有长处；不提倡为人情牺牲生活必需。</x:v>
      </x:c>
      <x:c r="O167" s="9" t="str">
        <x:v>好友知己</x:v>
      </x:c>
      <x:c r="P167" s="9" t="str">
        <x:v>未限定</x:v>
      </x:c>
      <x:c r="Q167" s="9" t="str">
        <x:v>未限定</x:v>
      </x:c>
      <x:c r="R167" s="9" t="str">
        <x:v>引句后整理</x:v>
      </x:c>
      <x:c r="S167" s="9" t="str">
        <x:v>雅致</x:v>
      </x:c>
      <x:c r="T167" s="9" t="str">
        <x:v>我以茶代酒，心意一样真。</x:v>
      </x:c>
      <x:c r="U167" s="9" t="str">
        <x:v>With tea in my cup and the same warm wishes.</x:v>
      </x:c>
      <x:c r="V167" s="9" t="str">
        <x:v>《世说新语》里记载：“恭作人无长物。”“无长物”说的是没多余东西，不是没长处。今天咱们也不比家底、比排场，能自在吃饭，坦诚说话，就很好。</x:v>
      </x:c>
      <x:c r="W167" s="9" t="str">
        <x:v>《世说新语》里记载：“恭作人无长物。”“无长物”说的是没多余东西，不是没长处。今天咱们也不比家底、比排场，能自在吃饭，坦诚说话，就很好。
这杯敬朋友，愿有空常聚，见面常有新话。</x:v>
      </x:c>
      <x:c r="X167" s="9" t="str">
        <x:v>spoken</x:v>
      </x:c>
      <x:c r="Y167" s="9" t="str">
        <x:v>story-1</x:v>
      </x:c>
      <x:c r="Z167" s="9" t="str"/>
      <x:c r="AA167" s="12" t="str"/>
    </x:row>
    <x:row r="168" ht="57" customHeight="1">
      <x:c r="A168" s="8" t="str">
        <x:v>r04-story-14-1</x:v>
      </x:c>
      <x:c r="B168" s="10" t="n">
        <x:v>1</x:v>
      </x:c>
      <x:c r="C168" s="8" t="str">
        <x:v>当前推荐</x:v>
      </x:c>
      <x:c r="D168" s="8" t="str">
        <x:v>朋友小聚</x:v>
      </x:c>
      <x:c r="E168" s="8" t="str">
        <x:v>全桌</x:v>
      </x:c>
      <x:c r="F168" s="8" t="str">
        <x:v>不想说的也可以不说</x:v>
      </x:c>
      <x:c r="G168" s="8" t="str">
        <x:v>《世说新语》里记载：“虽信宿中涂，竟不言及此事。”这则旧事让我觉得，相处舒服，也在不追问。今天咱们聊愿意聊的，难处不必当场交代，举杯先把心意送到。</x:v>
      </x:c>
      <x:c r="H168" s="8" t="str">
        <x:v>《世说新语》里记载：“虽信宿中涂，竟不言及此事。”这则旧事让我觉得，相处舒服，也在不追问。今天咱们聊愿意聊的，难处不必当场交代，举杯先把心意送到。
这杯敬朋友，愿有空常聚，见面常有新话。</x:v>
      </x:c>
      <x:c r="I168" s="8" t="str">
        <x:v>To company that respects what we choose to share and what we keep private.</x:v>
      </x:c>
      <x:c r="J168" s="8" t="str">
        <x:v>愿相处尊重彼此愿意说的，也尊重不想说的。</x:v>
      </x:c>
      <x:c r="K168" s="8" t="str">
        <x:v>r04-story-14</x:v>
      </x:c>
      <x:c r="L168" s="8" t="str">
        <x:v>《世说新语·雅量第三十三则》谢奉避谈失官</x:v>
      </x:c>
      <x:c r="M168" s="8" t="str">
        <x:v>虽信宿中涂，竟不言及此事。</x:v>
      </x:c>
      <x:c r="N168" s="8" t="str">
        <x:v>笺疏对时序提出疑问；借尊重别人谈话边界，不默认今天有人失职。</x:v>
      </x:c>
      <x:c r="O168" s="8" t="str">
        <x:v>好友知己</x:v>
      </x:c>
      <x:c r="P168" s="8" t="str">
        <x:v>未限定</x:v>
      </x:c>
      <x:c r="Q168" s="8" t="str">
        <x:v>未限定</x:v>
      </x:c>
      <x:c r="R168" s="8" t="str">
        <x:v>引句后整理</x:v>
      </x:c>
      <x:c r="S168" s="8" t="str">
        <x:v>雅致</x:v>
      </x:c>
      <x:c r="T168" s="8" t="str">
        <x:v>我以茶代酒，心意一样真。</x:v>
      </x:c>
      <x:c r="U168" s="8" t="str">
        <x:v>With tea in my cup and the same warm wishes.</x:v>
      </x:c>
      <x:c r="V168" s="8" t="str">
        <x:v>《世说新语》里记载：“虽信宿中涂，竟不言及此事。”这则旧事让我觉得，相处舒服，也在不追问。今天咱们聊愿意聊的，难处不必当场交代，举杯先把心意送到。</x:v>
      </x:c>
      <x:c r="W168" s="8" t="str">
        <x:v>《世说新语》里记载：“虽信宿中涂，竟不言及此事。”这则旧事让我觉得，相处舒服，也在不追问。今天咱们聊愿意聊的，难处不必当场交代，举杯先把心意送到。
这杯敬朋友，愿有空常聚，见面常有新话。</x:v>
      </x:c>
      <x:c r="X168" s="8" t="str">
        <x:v>spoken</x:v>
      </x:c>
      <x:c r="Y168" s="8" t="str">
        <x:v>story-1</x:v>
      </x:c>
      <x:c r="Z168" s="8" t="str"/>
      <x:c r="AA168" s="12" t="str"/>
    </x:row>
    <x:row r="169" ht="57" customHeight="1">
      <x:c r="A169" s="9" t="str">
        <x:v>r04-story-17-1</x:v>
      </x:c>
      <x:c r="B169" s="11" t="n">
        <x:v>1</x:v>
      </x:c>
      <x:c r="C169" s="9" t="str">
        <x:v>当前推荐</x:v>
      </x:c>
      <x:c r="D169" s="9" t="str">
        <x:v>朋友小聚</x:v>
      </x:c>
      <x:c r="E169" s="9" t="str">
        <x:v>全桌</x:v>
      </x:c>
      <x:c r="F169" s="9" t="str">
        <x:v>日子总要有点喜欢</x:v>
      </x:c>
      <x:c r="G169" s="9" t="str">
        <x:v>《世说新语》里记载：“何可一日无此君？”“此君”说的是竹。古人心里有竹，咱们也各有喜欢的东西。这杯敬朋友，愿再忙也留一点自己的兴趣，日子才有滋味。</x:v>
      </x:c>
      <x:c r="H169" s="9" t="str">
        <x:v>《世说新语》里记载：“何可一日无此君？”“此君”说的是竹。古人心里有竹，咱们也各有喜欢的东西。这杯敬朋友，愿再忙也留一点自己的兴趣，日子才有滋味。
这杯敬朋友，愿有空常聚，见面常有新话。</x:v>
      </x:c>
      <x:c r="I169" s="9" t="str">
        <x:v>To keeping a little space in life for the things we love.</x:v>
      </x:c>
      <x:c r="J169" s="9" t="str">
        <x:v>愿生活里，总留一点给所爱之事的空间。</x:v>
      </x:c>
      <x:c r="K169" s="9" t="str">
        <x:v>r04-story-17</x:v>
      </x:c>
      <x:c r="L169" s="9" t="str">
        <x:v>《世说新语·任诞第四十六则》王子猷暂居种竹</x:v>
      </x:c>
      <x:c r="M169" s="9" t="str">
        <x:v>何可一日无此君？</x:v>
      </x:c>
      <x:c r="N169" s="9" t="str">
        <x:v>此君指竹，不是向领导作人身依附表态；不模仿未经允许改动他人居所。</x:v>
      </x:c>
      <x:c r="O169" s="9" t="str">
        <x:v>好友知己</x:v>
      </x:c>
      <x:c r="P169" s="9" t="str">
        <x:v>未限定</x:v>
      </x:c>
      <x:c r="Q169" s="9" t="str">
        <x:v>未限定</x:v>
      </x:c>
      <x:c r="R169" s="9" t="str">
        <x:v>引句后整理</x:v>
      </x:c>
      <x:c r="S169" s="9" t="str">
        <x:v>雅致</x:v>
      </x:c>
      <x:c r="T169" s="9" t="str">
        <x:v>我以茶代酒，心意一样真。</x:v>
      </x:c>
      <x:c r="U169" s="9" t="str">
        <x:v>With tea in my cup and the same warm wishes.</x:v>
      </x:c>
      <x:c r="V169" s="9" t="str">
        <x:v>《世说新语》里记载：“何可一日无此君？”“此君”说的是竹。古人心里有竹，咱们也各有喜欢的东西。这杯敬朋友，愿再忙也留一点自己的兴趣，日子才有滋味。</x:v>
      </x:c>
      <x:c r="W169" s="9" t="str">
        <x:v>《世说新语》里记载：“何可一日无此君？”“此君”说的是竹。古人心里有竹，咱们也各有喜欢的东西。这杯敬朋友，愿再忙也留一点自己的兴趣，日子才有滋味。
这杯敬朋友，愿有空常聚，见面常有新话。</x:v>
      </x:c>
      <x:c r="X169" s="9" t="str">
        <x:v>spoken</x:v>
      </x:c>
      <x:c r="Y169" s="9" t="str">
        <x:v>story-0</x:v>
      </x:c>
      <x:c r="Z169" s="9" t="str"/>
      <x:c r="AA169" s="12" t="str"/>
    </x:row>
    <x:row r="170" ht="57" customHeight="1">
      <x:c r="A170" s="8" t="str">
        <x:v>r04-story-18-1</x:v>
      </x:c>
      <x:c r="B170" s="10" t="n">
        <x:v>1</x:v>
      </x:c>
      <x:c r="C170" s="8" t="str">
        <x:v>当前推荐</x:v>
      </x:c>
      <x:c r="D170" s="8" t="str">
        <x:v>朋友小聚</x:v>
      </x:c>
      <x:c r="E170" s="8" t="str">
        <x:v>全桌</x:v>
      </x:c>
      <x:c r="F170" s="8" t="str">
        <x:v>今天真见着了</x:v>
      </x:c>
      <x:c r="G170" s="8" t="str">
        <x:v>《世说新语》里记载：“吾本乘兴而行，兴尽而返，何必见戴？”书里雪夜访友，到了门前却又回去了。咱们今天倒实实在在坐到一桌，就敬这份相见，饭趁热，话慢慢聊。</x:v>
      </x:c>
      <x:c r="H170" s="8" t="str">
        <x:v>《世说新语》里记载：“吾本乘兴而行，兴尽而返，何必见戴？”书里雪夜访友，到了门前却又回去了。咱们今天倒实实在在坐到一桌，就敬这份相见，饭趁热，话慢慢聊。
这杯敬朋友，愿有空常聚，见面常有新话。</x:v>
      </x:c>
      <x:c r="I170" s="8" t="str">
        <x:v>To spontaneous joy, and to friends whose time we treat with care.</x:v>
      </x:c>
      <x:c r="J170" s="8" t="str">
        <x:v>愿有随兴的欢喜，也珍惜朋友的时间。</x:v>
      </x:c>
      <x:c r="K170" s="8" t="str">
        <x:v>r04-story-18</x:v>
      </x:c>
      <x:c r="L170" s="8" t="str">
        <x:v>《世说新语·任诞第四十七则》雪夜访戴</x:v>
      </x:c>
      <x:c r="M170" s="8" t="str">
        <x:v>吾本乘兴而行，兴尽而返，何必见戴？</x:v>
      </x:c>
      <x:c r="N170" s="8" t="str">
        <x:v>故事中没有见到戴逵；借兴致，不美化失约、不把兴尽而返写成宾主相会。</x:v>
      </x:c>
      <x:c r="O170" s="8" t="str">
        <x:v>好友知己</x:v>
      </x:c>
      <x:c r="P170" s="8" t="str">
        <x:v>未限定</x:v>
      </x:c>
      <x:c r="Q170" s="8" t="str">
        <x:v>未限定</x:v>
      </x:c>
      <x:c r="R170" s="8" t="str">
        <x:v>引句后整理</x:v>
      </x:c>
      <x:c r="S170" s="8" t="str">
        <x:v>雅致</x:v>
      </x:c>
      <x:c r="T170" s="8" t="str">
        <x:v>我以茶代酒，心意一样真。</x:v>
      </x:c>
      <x:c r="U170" s="8" t="str">
        <x:v>With tea in my cup and the same warm wishes.</x:v>
      </x:c>
      <x:c r="V170" s="8" t="str">
        <x:v>《世说新语》里记载：“吾本乘兴而行，兴尽而返，何必见戴？”书里雪夜访友，到了门前却又回去了。咱们今天倒实实在在坐到一桌，就敬这份相见，饭趁热，话慢慢聊。</x:v>
      </x:c>
      <x:c r="W170" s="8" t="str">
        <x:v>《世说新语》里记载：“吾本乘兴而行，兴尽而返，何必见戴？”书里雪夜访友，到了门前却又回去了。咱们今天倒实实在在坐到一桌，就敬这份相见，饭趁热，话慢慢聊。
这杯敬朋友，愿有空常聚，见面常有新话。</x:v>
      </x:c>
      <x:c r="X170" s="8" t="str">
        <x:v>spoken</x:v>
      </x:c>
      <x:c r="Y170" s="8" t="str">
        <x:v>story-1</x:v>
      </x:c>
      <x:c r="Z170" s="8" t="str"/>
      <x:c r="AA170" s="12" t="str"/>
    </x:row>
    <x:row r="171" ht="57" customHeight="1">
      <x:c r="A171" s="9" t="str">
        <x:v>r04-story-19-2</x:v>
      </x:c>
      <x:c r="B171" s="11" t="n">
        <x:v>1</x:v>
      </x:c>
      <x:c r="C171" s="9" t="str">
        <x:v>当前推荐</x:v>
      </x:c>
      <x:c r="D171" s="9" t="str">
        <x:v>朋友小聚</x:v>
      </x:c>
      <x:c r="E171" s="9" t="str">
        <x:v>全桌</x:v>
      </x:c>
      <x:c r="F171" s="9" t="str">
        <x:v>投缘不必话密 · 再说一句</x:v>
      </x:c>
      <x:c r="G171" s="9" t="str">
        <x:v>不一定每个人都善谈，听得认真、笑得会意，也是一种默契。敬朋友，愿我们见面都不用费力扮演另一个人。借这则旧事的一句：“客主不交一言。”</x:v>
      </x:c>
      <x:c r="H171" s="9" t="str">
        <x:v>不一定每个人都善谈，听得认真、笑得会意，也是一种默契。敬朋友，愿我们见面都不用费力扮演另一个人。
《世说新语》里记载：“客主不交一言。”这杯敬朋友，愿有空常聚，见面常有新话。</x:v>
      </x:c>
      <x:c r="I171" s="9" t="str">
        <x:v>To easy company, whether the conversation is lively or quietly shared. Here is to another good day together.</x:v>
      </x:c>
      <x:c r="J171" s="9" t="str">
        <x:v>愿话多话少，都能相处自在。也盼再有同聚的好日子。</x:v>
      </x:c>
      <x:c r="K171" s="9" t="str">
        <x:v>r04-story-19</x:v>
      </x:c>
      <x:c r="L171" s="9" t="str">
        <x:v>《世说新语·任诞第四十九则》桓伊笛三调</x:v>
      </x:c>
      <x:c r="M171" s="9" t="str">
        <x:v>客主不交一言。</x:v>
      </x:c>
      <x:c r="N171" s="9" t="str">
        <x:v>桓伊应邀奏笛，前后没有交谈；不编造二人从此成为挚友。</x:v>
      </x:c>
      <x:c r="O171" s="9" t="str">
        <x:v>好友知己</x:v>
      </x:c>
      <x:c r="P171" s="9" t="str">
        <x:v>未限定</x:v>
      </x:c>
      <x:c r="Q171" s="9" t="str">
        <x:v>未限定</x:v>
      </x:c>
      <x:c r="R171" s="9" t="str">
        <x:v>引句后整理</x:v>
      </x:c>
      <x:c r="S171" s="9" t="str">
        <x:v>雅致</x:v>
      </x:c>
      <x:c r="T171" s="9" t="str">
        <x:v>我以茶代酒，心意一样真。</x:v>
      </x:c>
      <x:c r="U171" s="9" t="str">
        <x:v>With tea in my cup and the same warm wishes.</x:v>
      </x:c>
      <x:c r="V171" s="9" t="str">
        <x:v>不一定每个人都善谈，听得认真、笑得会意，也是一种默契。敬朋友，愿我们见面都不用费力扮演另一个人。借这则旧事的一句：“客主不交一言。”</x:v>
      </x:c>
      <x:c r="W171" s="9" t="str">
        <x:v>不一定每个人都善谈，听得认真、笑得会意，也是一种默契。敬朋友，愿我们见面都不用费力扮演另一个人。
《世说新语》里记载：“客主不交一言。”这杯敬朋友，愿有空常聚，见面常有新话。</x:v>
      </x:c>
      <x:c r="X171" s="9" t="str">
        <x:v>spoken</x:v>
      </x:c>
      <x:c r="Y171" s="9" t="str">
        <x:v>story-2</x:v>
      </x:c>
      <x:c r="Z171" s="9" t="str"/>
      <x:c r="AA171" s="12" t="str"/>
    </x:row>
    <x:row r="172" ht="57" customHeight="1">
      <x:c r="A172" s="8" t="str">
        <x:v>r04-story-21-1</x:v>
      </x:c>
      <x:c r="B172" s="10" t="n">
        <x:v>1</x:v>
      </x:c>
      <x:c r="C172" s="8" t="str">
        <x:v>当前推荐</x:v>
      </x:c>
      <x:c r="D172" s="8" t="str">
        <x:v>朋友小聚</x:v>
      </x:c>
      <x:c r="E172" s="8" t="str">
        <x:v>全桌</x:v>
      </x:c>
      <x:c r="F172" s="8" t="str">
        <x:v>带点家常来相聚</x:v>
      </x:c>
      <x:c r="G172" s="8" t="str">
        <x:v>《世说新语》里记载：“有鱼，欲寄作脍。”故事里的来往很有意思，带一份食物，就有了见面的由头。今天咱们不论带了什么，人肯来，话肯聊，就是一桌好光景。</x:v>
      </x:c>
      <x:c r="H172" s="8" t="str">
        <x:v>《世说新语》里记载：“有鱼，欲寄作脍。”故事里的来往很有意思，带一份食物，就有了见面的由头。今天咱们不论带了什么，人肯来，话肯聊，就是一桌好光景。
这杯敬朋友，愿有空常聚，见面常有新话。</x:v>
      </x:c>
      <x:c r="I172" s="8" t="str">
        <x:v>To simple reasons to meet and friendships that feel natural.</x:v>
      </x:c>
      <x:c r="J172" s="8" t="str">
        <x:v>愿见面有家常的由头，交情自然。</x:v>
      </x:c>
      <x:c r="K172" s="8" t="str">
        <x:v>r04-story-21</x:v>
      </x:c>
      <x:c r="L172" s="8" t="str">
        <x:v>《世说新语·任诞第三十八则》刘驎之寄鱼作鲙</x:v>
      </x:c>
      <x:c r="M172" s="8" t="str">
        <x:v>有鱼，欲寄作脍。</x:v>
      </x:c>
      <x:c r="N172" s="8" t="str">
        <x:v>笺疏辨此人为刘驎之，不是庐山刘程之；只借朴素来往，不倡生食淡水鱼或失礼待客。</x:v>
      </x:c>
      <x:c r="O172" s="8" t="str">
        <x:v>好友知己</x:v>
      </x:c>
      <x:c r="P172" s="8" t="str">
        <x:v>未限定</x:v>
      </x:c>
      <x:c r="Q172" s="8" t="str">
        <x:v>未限定</x:v>
      </x:c>
      <x:c r="R172" s="8" t="str">
        <x:v>引句后整理</x:v>
      </x:c>
      <x:c r="S172" s="8" t="str">
        <x:v>雅致</x:v>
      </x:c>
      <x:c r="T172" s="8" t="str">
        <x:v>我以茶代酒，心意一样真。</x:v>
      </x:c>
      <x:c r="U172" s="8" t="str">
        <x:v>With tea in my cup and the same warm wishes.</x:v>
      </x:c>
      <x:c r="V172" s="8" t="str">
        <x:v>《世说新语》里记载：“有鱼，欲寄作脍。”故事里的来往很有意思，带一份食物，就有了见面的由头。今天咱们不论带了什么，人肯来，话肯聊，就是一桌好光景。</x:v>
      </x:c>
      <x:c r="W172" s="8" t="str">
        <x:v>《世说新语》里记载：“有鱼，欲寄作脍。”故事里的来往很有意思，带一份食物，就有了见面的由头。今天咱们不论带了什么，人肯来，话肯聊，就是一桌好光景。
这杯敬朋友，愿有空常聚，见面常有新话。</x:v>
      </x:c>
      <x:c r="X172" s="8" t="str">
        <x:v>spoken</x:v>
      </x:c>
      <x:c r="Y172" s="8" t="str">
        <x:v>story-0</x:v>
      </x:c>
      <x:c r="Z172" s="8" t="str"/>
      <x:c r="AA172" s="12" t="str"/>
    </x:row>
    <x:row r="173" ht="57" customHeight="1">
      <x:c r="A173" s="9" t="str">
        <x:v>r04-story-22-1</x:v>
      </x:c>
      <x:c r="B173" s="11" t="n">
        <x:v>1</x:v>
      </x:c>
      <x:c r="C173" s="9" t="str">
        <x:v>当前推荐</x:v>
      </x:c>
      <x:c r="D173" s="9" t="str">
        <x:v>朋友小聚</x:v>
      </x:c>
      <x:c r="E173" s="9" t="str">
        <x:v>全桌</x:v>
      </x:c>
      <x:c r="F173" s="9" t="str">
        <x:v>把约定当回事</x:v>
      </x:c>
      <x:c r="G173" s="9" t="str">
        <x:v>《世说新语》里记载：“日中不至，则是无信。”古人的故事里，赴约也讲信用。今天咱们终于见着，这杯敬愿意腾出时间的人，愿以后的约，都能落到实处。</x:v>
      </x:c>
      <x:c r="H173" s="9" t="str">
        <x:v>《世说新语》里记载：“日中不至，则是无信。”古人的故事里，赴约也讲信用。今天咱们终于见着，这杯敬愿意腾出时间的人，愿以后的约，都能落到实处。
这杯敬朋友，愿有空常聚，见面常有新话。</x:v>
      </x:c>
      <x:c r="I173" s="9" t="str">
        <x:v>To taking each other's time and commitments seriously.</x:v>
      </x:c>
      <x:c r="J173" s="9" t="str">
        <x:v>愿认真看待彼此的时间与约定。</x:v>
      </x:c>
      <x:c r="K173" s="9" t="str">
        <x:v>r04-story-22</x:v>
      </x:c>
      <x:c r="L173" s="9" t="str">
        <x:v>《世说新语·方正第一则》陈太丘与友期行</x:v>
      </x:c>
      <x:c r="M173" s="9" t="str">
        <x:v>日中不至，则是无信。</x:v>
      </x:c>
      <x:c r="N173" s="9" t="str">
        <x:v>原条目论信与礼，称太丘为追叙；借重视约定，不在席间点名责备迟到者。</x:v>
      </x:c>
      <x:c r="O173" s="9" t="str">
        <x:v>好友知己</x:v>
      </x:c>
      <x:c r="P173" s="9" t="str">
        <x:v>未限定</x:v>
      </x:c>
      <x:c r="Q173" s="9" t="str">
        <x:v>未限定</x:v>
      </x:c>
      <x:c r="R173" s="9" t="str">
        <x:v>引句后整理</x:v>
      </x:c>
      <x:c r="S173" s="9" t="str">
        <x:v>雅致</x:v>
      </x:c>
      <x:c r="T173" s="9" t="str">
        <x:v>我以茶代酒，心意一样真。</x:v>
      </x:c>
      <x:c r="U173" s="9" t="str">
        <x:v>With tea in my cup and the same warm wishes.</x:v>
      </x:c>
      <x:c r="V173" s="9" t="str">
        <x:v>《世说新语》里记载：“日中不至，则是无信。”古人的故事里，赴约也讲信用。今天咱们终于见着，这杯敬愿意腾出时间的人，愿以后的约，都能落到实处。</x:v>
      </x:c>
      <x:c r="W173" s="9" t="str">
        <x:v>《世说新语》里记载：“日中不至，则是无信。”古人的故事里，赴约也讲信用。今天咱们终于见着，这杯敬愿意腾出时间的人，愿以后的约，都能落到实处。
这杯敬朋友，愿有空常聚，见面常有新话。</x:v>
      </x:c>
      <x:c r="X173" s="9" t="str">
        <x:v>spoken</x:v>
      </x:c>
      <x:c r="Y173" s="9" t="str">
        <x:v>story-1</x:v>
      </x:c>
      <x:c r="Z173" s="9" t="str"/>
      <x:c r="AA173" s="12" t="str"/>
    </x:row>
    <x:row r="174" ht="42" customHeight="1">
      <x:c r="A174" s="8" t="str">
        <x:v>spoken-friends-01</x:v>
      </x:c>
      <x:c r="B174" s="10" t="n">
        <x:v>1</x:v>
      </x:c>
      <x:c r="C174" s="8" t="str">
        <x:v>当前推荐</x:v>
      </x:c>
      <x:c r="D174" s="8" t="str">
        <x:v>朋友小聚</x:v>
      </x:c>
      <x:c r="E174" s="8" t="str">
        <x:v>全桌</x:v>
      </x:c>
      <x:c r="F174" s="8" t="str">
        <x:v>先把这顿饭吃高兴</x:v>
      </x:c>
      <x:c r="G174" s="8" t="str">
        <x:v>朋友聚一顿，别把自己绷得太紧。今天有话就聊，有菜就吃，敬咱们这一桌的自在。</x:v>
      </x:c>
      <x:c r="H174" s="8" t="str">
        <x:v>平时有平时的忙，今天坐到一块儿，咱们就放松一点。开心的事拿出来说说，烦心的事愿意说就说。我先敬你们，祝大家日子过得顺，也别少了见面的机会。</x:v>
      </x:c>
      <x:c r="I174" s="8" t="str">
        <x:v>To a table where we can relax, talk freely, and be ourselves.</x:v>
      </x:c>
      <x:c r="J174" s="8" t="str">
        <x:v>敬这一桌自在，也愿大家都能放心做自己。</x:v>
      </x:c>
      <x:c r="K174" s="8" t="str">
        <x:v>rhythm</x:v>
      </x:c>
      <x:c r="L174" s="8" t="str">
        <x:v>把话写给耳朵听</x:v>
      </x:c>
      <x:c r="M174" s="8" t="str"/>
      <x:c r="N174" s="8" t="str">
        <x:v>熟朋友可以带点笑意；别把共同经历编进话里。</x:v>
      </x:c>
      <x:c r="O174" s="8" t="str">
        <x:v>未限定</x:v>
      </x:c>
      <x:c r="P174" s="8" t="str">
        <x:v>未限定</x:v>
      </x:c>
      <x:c r="Q174" s="8" t="str">
        <x:v>未限定</x:v>
      </x:c>
      <x:c r="R174" s="8" t="str">
        <x:v>依据表达方法整理</x:v>
      </x:c>
      <x:c r="S174" s="8" t="str">
        <x:v>雅致</x:v>
      </x:c>
      <x:c r="T174" s="8" t="str">
        <x:v>今天我以茶代酒，心意都在。</x:v>
      </x:c>
      <x:c r="U174" s="8" t="str">
        <x:v>I’m raising a cup of tea, with the same warm wishes.</x:v>
      </x:c>
      <x:c r="V174" s="8" t="str">
        <x:v>朋友聚一顿，别把自己绷得太紧。今天有话就聊，有菜就吃，敬咱们这一桌的自在。</x:v>
      </x:c>
      <x:c r="W174" s="8" t="str">
        <x:v>平时有平时的忙，今天坐到一块儿，咱们就放松一点。开心的事拿出来说说，烦心的事愿意说就说。我先敬你们，祝大家日子过得顺，也别少了见面的机会。</x:v>
      </x:c>
      <x:c r="X174" s="8" t="str">
        <x:v>spoken</x:v>
      </x:c>
      <x:c r="Y174" s="8" t="str">
        <x:v>plain</x:v>
      </x:c>
      <x:c r="Z174" s="8" t="str"/>
      <x:c r="AA174" s="12" t="str"/>
    </x:row>
    <x:row r="175" ht="42" customHeight="1">
      <x:c r="A175" s="9" t="str">
        <x:v>spoken-friends-02</x:v>
      </x:c>
      <x:c r="B175" s="11" t="n">
        <x:v>1</x:v>
      </x:c>
      <x:c r="C175" s="9" t="str">
        <x:v>当前推荐</x:v>
      </x:c>
      <x:c r="D175" s="9" t="str">
        <x:v>朋友小聚</x:v>
      </x:c>
      <x:c r="E175" s="9" t="str">
        <x:v>全桌</x:v>
      </x:c>
      <x:c r="F175" s="9" t="str">
        <x:v>有空就见，别太客气</x:v>
      </x:c>
      <x:c r="G175" s="9" t="str">
        <x:v>大事小事都能聊两句，这样的朋友挺难得。敬你们，有空就见，别太客气。</x:v>
      </x:c>
      <x:c r="H175" s="9" t="str">
        <x:v>朋友之间，能说大事，也能聊点没什么要紧的小事，我觉得就挺好。今天这杯敬你们，祝大家各自过得好，也别忙着忙着，就把见面这件事忘了。</x:v>
      </x:c>
      <x:c r="I175" s="9" t="str">
        <x:v>To the friends we can share both big news and little everyday stories with.</x:v>
      </x:c>
      <x:c r="J175" s="9" t="str">
        <x:v>敬能一起聊大事，也能说日常小事的朋友。</x:v>
      </x:c>
      <x:c r="K175" s="9" t="str">
        <x:v>rhythm</x:v>
      </x:c>
      <x:c r="L175" s="9" t="str">
        <x:v>把话写给耳朵听</x:v>
      </x:c>
      <x:c r="M175" s="9" t="str"/>
      <x:c r="N175" s="9" t="str">
        <x:v>熟朋友可以带点笑意；别把共同经历编进话里。</x:v>
      </x:c>
      <x:c r="O175" s="9" t="str">
        <x:v>未限定</x:v>
      </x:c>
      <x:c r="P175" s="9" t="str">
        <x:v>未限定</x:v>
      </x:c>
      <x:c r="Q175" s="9" t="str">
        <x:v>未限定</x:v>
      </x:c>
      <x:c r="R175" s="9" t="str">
        <x:v>依据表达方法整理</x:v>
      </x:c>
      <x:c r="S175" s="9" t="str">
        <x:v>雅致</x:v>
      </x:c>
      <x:c r="T175" s="9" t="str">
        <x:v>杯里是茶，祝福一样认真。</x:v>
      </x:c>
      <x:c r="U175" s="9" t="str">
        <x:v>I’m raising a cup of tea, with the same warm wishes.</x:v>
      </x:c>
      <x:c r="V175" s="9" t="str">
        <x:v>大事小事都能聊两句，这样的朋友挺难得。敬你们，有空就见，别太客气。</x:v>
      </x:c>
      <x:c r="W175" s="9" t="str">
        <x:v>朋友之间，能说大事，也能聊点没什么要紧的小事，我觉得就挺好。今天这杯敬你们，祝大家各自过得好，也别忙着忙着，就把见面这件事忘了。</x:v>
      </x:c>
      <x:c r="X175" s="9" t="str">
        <x:v>spoken</x:v>
      </x:c>
      <x:c r="Y175" s="9" t="str">
        <x:v>plain</x:v>
      </x:c>
      <x:c r="Z175" s="9" t="str"/>
      <x:c r="AA175" s="12" t="str"/>
    </x:row>
    <x:row r="176" ht="42" customHeight="1">
      <x:c r="A176" s="8" t="str">
        <x:v>spoken-friends-03</x:v>
      </x:c>
      <x:c r="B176" s="10" t="n">
        <x:v>1</x:v>
      </x:c>
      <x:c r="C176" s="8" t="str">
        <x:v>当前推荐</x:v>
      </x:c>
      <x:c r="D176" s="8" t="str">
        <x:v>朋友小聚</x:v>
      </x:c>
      <x:c r="E176" s="8" t="str">
        <x:v>全桌</x:v>
      </x:c>
      <x:c r="F176" s="8" t="str">
        <x:v>有好消息，记得说</x:v>
      </x:c>
      <x:c r="G176" s="8" t="str">
        <x:v>这杯祝你们都好。以后有好消息记得说，没什么大事，也可以约顿饭。</x:v>
      </x:c>
      <x:c r="H176" s="8" t="str">
        <x:v>今天先祝大家都好：忙的事有进展，惦记的人都平安。有好消息，别忘了告诉我们；日子平平常常，也值得约顿饭庆祝一下。来，敬你们。</x:v>
      </x:c>
      <x:c r="I176" s="8" t="str">
        <x:v>May good news come your way, and may ordinary days still give us reasons to meet.</x:v>
      </x:c>
      <x:c r="J176" s="8" t="str">
        <x:v>愿大家常有好消息，平常日子也有见面的理由。</x:v>
      </x:c>
      <x:c r="K176" s="8" t="str">
        <x:v>rhythm</x:v>
      </x:c>
      <x:c r="L176" s="8" t="str">
        <x:v>把话写给耳朵听</x:v>
      </x:c>
      <x:c r="M176" s="8" t="str"/>
      <x:c r="N176" s="8" t="str">
        <x:v>熟朋友可以带点笑意；别把共同经历编进话里。</x:v>
      </x:c>
      <x:c r="O176" s="8" t="str">
        <x:v>未限定</x:v>
      </x:c>
      <x:c r="P176" s="8" t="str">
        <x:v>未限定</x:v>
      </x:c>
      <x:c r="Q176" s="8" t="str">
        <x:v>未限定</x:v>
      </x:c>
      <x:c r="R176" s="8" t="str">
        <x:v>依据表达方法整理</x:v>
      </x:c>
      <x:c r="S176" s="8" t="str">
        <x:v>雅致</x:v>
      </x:c>
      <x:c r="T176" s="8" t="str">
        <x:v>我用茶陪大家，咱们自在就好。</x:v>
      </x:c>
      <x:c r="U176" s="8" t="str">
        <x:v>I’m raising a cup of tea, with the same warm wishes.</x:v>
      </x:c>
      <x:c r="V176" s="8" t="str">
        <x:v>这杯祝你们都好。以后有好消息记得说，没什么大事，也可以约顿饭。</x:v>
      </x:c>
      <x:c r="W176" s="8" t="str">
        <x:v>今天先祝大家都好：忙的事有进展，惦记的人都平安。有好消息，别忘了告诉我们；日子平平常常，也值得约顿饭庆祝一下。来，敬你们。</x:v>
      </x:c>
      <x:c r="X176" s="8" t="str">
        <x:v>spoken</x:v>
      </x:c>
      <x:c r="Y176" s="8" t="str">
        <x:v>plain</x:v>
      </x:c>
      <x:c r="Z176" s="8" t="str"/>
      <x:c r="AA176" s="12" t="str"/>
    </x:row>
    <x:row r="177" ht="42" customHeight="1">
      <x:c r="A177" s="9" t="str">
        <x:v>spoken-friends-04</x:v>
      </x:c>
      <x:c r="B177" s="11" t="n">
        <x:v>1</x:v>
      </x:c>
      <x:c r="C177" s="9" t="str">
        <x:v>当前推荐</x:v>
      </x:c>
      <x:c r="D177" s="9" t="str">
        <x:v>朋友小聚</x:v>
      </x:c>
      <x:c r="E177" s="9" t="str">
        <x:v>全桌</x:v>
      </x:c>
      <x:c r="F177" s="9" t="str">
        <x:v>桑麻换成咱们的近况</x:v>
      </x:c>
      <x:c r="G177" s="9" t="str">
        <x:v>“把酒话桑麻”，咱们今天就聊聊近况。饭能吃到一起，话能说到一起，这杯就值得敬。</x:v>
      </x:c>
      <x:c r="H177" s="9" t="str">
        <x:v>“把酒话桑麻”，朋友坐下来聊的，本来就是平常事。今天咱们也不用找什么大话题，聊聊最近忙什么、惦记什么。我敬你们，愿往后的日子，有事能商量，没事也能聚。</x:v>
      </x:c>
      <x:c r="I177" s="9" t="str">
        <x:v>To everyday stories, easy conversation, and friends who make time for each other.</x:v>
      </x:c>
      <x:c r="J177" s="9" t="str">
        <x:v>敬日常小事、自在交谈，也敬愿意相聚的朋友。</x:v>
      </x:c>
      <x:c r="K177" s="9" t="str">
        <x:v>reunion</x:v>
      </x:c>
      <x:c r="L177" s="9" t="str">
        <x:v>相聚与再会</x:v>
      </x:c>
      <x:c r="M177" s="9" t="str">
        <x:v>把酒话桑麻</x:v>
      </x:c>
      <x:c r="N177" s="9" t="str">
        <x:v>熟朋友可以带点笑意；别把共同经历编进话里。</x:v>
      </x:c>
      <x:c r="O177" s="9" t="str">
        <x:v>未限定</x:v>
      </x:c>
      <x:c r="P177" s="9" t="str">
        <x:v>未限定</x:v>
      </x:c>
      <x:c r="Q177" s="9" t="str">
        <x:v>未限定</x:v>
      </x:c>
      <x:c r="R177" s="9" t="str">
        <x:v>引句后整理</x:v>
      </x:c>
      <x:c r="S177" s="9" t="str">
        <x:v>雅致</x:v>
      </x:c>
      <x:c r="T177" s="9" t="str">
        <x:v>今天我以茶代酒，心意都在。</x:v>
      </x:c>
      <x:c r="U177" s="9" t="str">
        <x:v>I’m raising a cup of tea, with the same warm wishes.</x:v>
      </x:c>
      <x:c r="V177" s="9" t="str">
        <x:v>“把酒话桑麻”，咱们今天就聊聊近况。饭能吃到一起，话能说到一起，这杯就值得敬。</x:v>
      </x:c>
      <x:c r="W177" s="9" t="str">
        <x:v>“把酒话桑麻”，朋友坐下来聊的，本来就是平常事。今天咱们也不用找什么大话题，聊聊最近忙什么、惦记什么。我敬你们，愿往后的日子，有事能商量，没事也能聚。</x:v>
      </x:c>
      <x:c r="X177" s="9" t="str">
        <x:v>spoken</x:v>
      </x:c>
      <x:c r="Y177" s="9" t="str">
        <x:v>verse</x:v>
      </x:c>
      <x:c r="Z177" s="9" t="str"/>
      <x:c r="AA177" s="12" t="str"/>
    </x:row>
    <x:row r="178" ht="42" customHeight="1">
      <x:c r="A178" s="8" t="str">
        <x:v>spoken-friends-05</x:v>
      </x:c>
      <x:c r="B178" s="10" t="n">
        <x:v>1</x:v>
      </x:c>
      <x:c r="C178" s="8" t="str">
        <x:v>当前推荐</x:v>
      </x:c>
      <x:c r="D178" s="8" t="str">
        <x:v>朋友小聚</x:v>
      </x:c>
      <x:c r="E178" s="8" t="str">
        <x:v>全桌</x:v>
      </x:c>
      <x:c r="F178" s="8" t="str">
        <x:v>各忙各的，也记得彼此</x:v>
      </x:c>
      <x:c r="G178" s="8" t="str">
        <x:v>“相知无远近”，咱们各忙各的，也记得彼此。今天先碰杯，下回再慢慢聊。</x:v>
      </x:c>
      <x:c r="H178" s="8" t="str">
        <x:v>“相知无远近”，我喜欢这句话里的踏实劲儿。朋友不一定天天见，见了面，话还接得上就很好。今天敬你们，祝大家各自顺利，想聚的时候，也总能约得上。</x:v>
      </x:c>
      <x:c r="I178" s="8" t="str">
        <x:v>To friendships that stay close even when life gets busy.</x:v>
      </x:c>
      <x:c r="J178" s="8" t="str">
        <x:v>敬忙碌中依然亲近的友情。</x:v>
      </x:c>
      <x:c r="K178" s="8" t="str">
        <x:v>zhang</x:v>
      </x:c>
      <x:c r="L178" s="8" t="str">
        <x:v>张九龄《送韦城李少府》</x:v>
      </x:c>
      <x:c r="M178" s="8" t="str">
        <x:v>相知无远近，万里尚为邻。</x:v>
      </x:c>
      <x:c r="N178" s="8" t="str">
        <x:v>熟朋友可以带点笑意；别把共同经历编进话里。</x:v>
      </x:c>
      <x:c r="O178" s="8" t="str">
        <x:v>未限定</x:v>
      </x:c>
      <x:c r="P178" s="8" t="str">
        <x:v>未限定</x:v>
      </x:c>
      <x:c r="Q178" s="8" t="str">
        <x:v>未限定</x:v>
      </x:c>
      <x:c r="R178" s="8" t="str">
        <x:v>引句后整理</x:v>
      </x:c>
      <x:c r="S178" s="8" t="str">
        <x:v>雅致</x:v>
      </x:c>
      <x:c r="T178" s="8" t="str">
        <x:v>杯里是茶，祝福一样认真。</x:v>
      </x:c>
      <x:c r="U178" s="8" t="str">
        <x:v>I’m raising a cup of tea, with the same warm wishes.</x:v>
      </x:c>
      <x:c r="V178" s="8" t="str">
        <x:v>“相知无远近”，咱们各忙各的，也记得彼此。今天先碰杯，下回再慢慢聊。</x:v>
      </x:c>
      <x:c r="W178" s="8" t="str">
        <x:v>“相知无远近”，我喜欢这句话里的踏实劲儿。朋友不一定天天见，见了面，话还接得上就很好。今天敬你们，祝大家各自顺利，想聚的时候，也总能约得上。</x:v>
      </x:c>
      <x:c r="X178" s="8" t="str">
        <x:v>spoken</x:v>
      </x:c>
      <x:c r="Y178" s="8" t="str">
        <x:v>verse</x:v>
      </x:c>
      <x:c r="Z178" s="8" t="str"/>
      <x:c r="AA178" s="12" t="str"/>
    </x:row>
    <x:row r="179" ht="42" customHeight="1">
      <x:c r="A179" s="9" t="str">
        <x:v>spoken-friends-06</x:v>
      </x:c>
      <x:c r="B179" s="11" t="n">
        <x:v>1</x:v>
      </x:c>
      <x:c r="C179" s="9" t="str">
        <x:v>当前推荐</x:v>
      </x:c>
      <x:c r="D179" s="9" t="str">
        <x:v>朋友小聚</x:v>
      </x:c>
      <x:c r="E179" s="9" t="str">
        <x:v>全桌</x:v>
      </x:c>
      <x:c r="F179" s="9" t="str">
        <x:v>聊到一起，就是雅兴</x:v>
      </x:c>
      <x:c r="G179" s="9" t="str">
        <x:v>“一觞一咏”，咱们未必会作诗，会聊天也行。敬你们，今天把想说的话慢慢说。</x:v>
      </x:c>
      <x:c r="H179" s="9" t="str">
        <x:v>“一觞一咏”，古人有古人的雅兴，咱们有咱们的开心。朋友坐一桌，哪怕说的都是小事，也能聊得有滋味。这杯敬你们，祝以后还有很多这样的晚上。</x:v>
      </x:c>
      <x:c r="I179" s="9" t="str">
        <x:v>To evenings made special by familiar voices and good conversation.</x:v>
      </x:c>
      <x:c r="J179" s="9" t="str">
        <x:v>敬熟悉的人、聊得来的话，也敬这样的好时光。</x:v>
      </x:c>
      <x:c r="K179" s="9" t="str">
        <x:v>lanting</x:v>
      </x:c>
      <x:c r="L179" s="9" t="str">
        <x:v>王羲之《兰亭集序》</x:v>
      </x:c>
      <x:c r="M179" s="9" t="str">
        <x:v>一觞一咏，亦足以畅叙幽情。</x:v>
      </x:c>
      <x:c r="N179" s="9" t="str">
        <x:v>熟朋友可以带点笑意；别把共同经历编进话里。</x:v>
      </x:c>
      <x:c r="O179" s="9" t="str">
        <x:v>未限定</x:v>
      </x:c>
      <x:c r="P179" s="9" t="str">
        <x:v>未限定</x:v>
      </x:c>
      <x:c r="Q179" s="9" t="str">
        <x:v>未限定</x:v>
      </x:c>
      <x:c r="R179" s="9" t="str">
        <x:v>引句后整理</x:v>
      </x:c>
      <x:c r="S179" s="9" t="str">
        <x:v>雅致</x:v>
      </x:c>
      <x:c r="T179" s="9" t="str">
        <x:v>我用茶陪大家，咱们自在就好。</x:v>
      </x:c>
      <x:c r="U179" s="9" t="str">
        <x:v>I’m raising a cup of tea, with the same warm wishes.</x:v>
      </x:c>
      <x:c r="V179" s="9" t="str">
        <x:v>“一觞一咏”，咱们未必会作诗，会聊天也行。敬你们，今天把想说的话慢慢说。</x:v>
      </x:c>
      <x:c r="W179" s="9" t="str">
        <x:v>“一觞一咏”，古人有古人的雅兴，咱们有咱们的开心。朋友坐一桌，哪怕说的都是小事，也能聊得有滋味。这杯敬你们，祝以后还有很多这样的晚上。</x:v>
      </x:c>
      <x:c r="X179" s="9" t="str">
        <x:v>spoken</x:v>
      </x:c>
      <x:c r="Y179" s="9" t="str">
        <x:v>verse</x:v>
      </x:c>
      <x:c r="Z179" s="9" t="str"/>
      <x:c r="AA179" s="12" t="str"/>
    </x:row>
    <x:row r="180" ht="42" customHeight="1">
      <x:c r="A180" s="8" t="str">
        <x:v>spoken-friends-07</x:v>
      </x:c>
      <x:c r="B180" s="10" t="n">
        <x:v>1</x:v>
      </x:c>
      <x:c r="C180" s="8" t="str">
        <x:v>当前推荐</x:v>
      </x:c>
      <x:c r="D180" s="8" t="str">
        <x:v>朋友小聚</x:v>
      </x:c>
      <x:c r="E180" s="8" t="str">
        <x:v>全桌</x:v>
      </x:c>
      <x:c r="F180" s="8" t="str">
        <x:v>改天，这回算数</x:v>
      </x:c>
      <x:c r="G180" s="8" t="str">
        <x:v>今天总算把“改天约饭”过成了今天。来，碰一个，祝咱们下回也别只停在聊天框里！</x:v>
      </x:c>
      <x:c r="H180" s="8" t="str">
        <x:v>朋友最容易说的一句话是“改天约”，今天咱们把这话落实了，值得碰个杯。祝大家工作有进展，生活有乐子，下回约饭有日期，不用翻聊天记录找证据。</x:v>
      </x:c>
      <x:c r="I180" s="8" t="str">
        <x:v>Here’s to turning “let’s meet sometime” into an actual dinner. Cheers!</x:v>
      </x:c>
      <x:c r="J180" s="8" t="str">
        <x:v>敬终于成行的聚餐，也盼下次约饭落到实处。</x:v>
      </x:c>
      <x:c r="K180" s="8" t="str">
        <x:v>rhythm</x:v>
      </x:c>
      <x:c r="L180" s="8" t="str">
        <x:v>把话写给耳朵听</x:v>
      </x:c>
      <x:c r="M180" s="8" t="str"/>
      <x:c r="N180" s="8" t="str">
        <x:v>熟朋友可以带点笑意；别把共同经历编进话里。</x:v>
      </x:c>
      <x:c r="O180" s="8" t="str">
        <x:v>未限定</x:v>
      </x:c>
      <x:c r="P180" s="8" t="str">
        <x:v>未限定</x:v>
      </x:c>
      <x:c r="Q180" s="8" t="str">
        <x:v>未限定</x:v>
      </x:c>
      <x:c r="R180" s="8" t="str">
        <x:v>依据表达方法整理</x:v>
      </x:c>
      <x:c r="S180" s="8" t="str">
        <x:v>诙谐</x:v>
      </x:c>
      <x:c r="T180" s="8" t="str">
        <x:v>今天我以茶代酒，心意都在。</x:v>
      </x:c>
      <x:c r="U180" s="8" t="str">
        <x:v>I’m raising a cup of tea, with the same warm wishes.</x:v>
      </x:c>
      <x:c r="V180" s="8" t="str">
        <x:v>今天总算把“改天约饭”过成了今天。来，碰一个，祝咱们下回也别只停在聊天框里！</x:v>
      </x:c>
      <x:c r="W180" s="8" t="str">
        <x:v>朋友最容易说的一句话是“改天约”，今天咱们把这话落实了，值得碰个杯。祝大家工作有进展，生活有乐子，下回约饭有日期，不用翻聊天记录找证据。</x:v>
      </x:c>
      <x:c r="X180" s="8" t="str">
        <x:v>spoken</x:v>
      </x:c>
      <x:c r="Y180" s="8" t="str">
        <x:v>fun</x:v>
      </x:c>
      <x:c r="Z180" s="8" t="str"/>
      <x:c r="AA180" s="12" t="str"/>
    </x:row>
    <x:row r="181" ht="42" customHeight="1">
      <x:c r="A181" s="9" t="str">
        <x:v>spoken-friends-08</x:v>
      </x:c>
      <x:c r="B181" s="11" t="n">
        <x:v>1</x:v>
      </x:c>
      <x:c r="C181" s="9" t="str">
        <x:v>当前推荐</x:v>
      </x:c>
      <x:c r="D181" s="9" t="str">
        <x:v>朋友小聚</x:v>
      </x:c>
      <x:c r="E181" s="9" t="str">
        <x:v>全桌</x:v>
      </x:c>
      <x:c r="F181" s="9" t="str">
        <x:v>先给开心留个位子</x:v>
      </x:c>
      <x:c r="G181" s="9" t="str">
        <x:v>烦心事先往旁边坐坐，给开心留个位子。来，敬你们，今天咱们好好吃饭。</x:v>
      </x:c>
      <x:c r="H181" s="9" t="str">
        <x:v>今天这一桌，我建议给开心留个位子。烦心事愿意聊，大家听着；暂时不想聊，就先吃点好吃的。来，敬你们，祝咱们都有把日子过得有滋味的本事。</x:v>
      </x:c>
      <x:c r="I181" s="9" t="str">
        <x:v>To making room for joy, with friends who listen when we need them.</x:v>
      </x:c>
      <x:c r="J181" s="9" t="str">
        <x:v>敬生活里的开心，也敬愿意倾听的朋友。</x:v>
      </x:c>
      <x:c r="K181" s="9" t="str">
        <x:v>rhythm</x:v>
      </x:c>
      <x:c r="L181" s="9" t="str">
        <x:v>把话写给耳朵听</x:v>
      </x:c>
      <x:c r="M181" s="9" t="str"/>
      <x:c r="N181" s="9" t="str">
        <x:v>熟朋友可以带点笑意；别把共同经历编进话里。</x:v>
      </x:c>
      <x:c r="O181" s="9" t="str">
        <x:v>未限定</x:v>
      </x:c>
      <x:c r="P181" s="9" t="str">
        <x:v>未限定</x:v>
      </x:c>
      <x:c r="Q181" s="9" t="str">
        <x:v>未限定</x:v>
      </x:c>
      <x:c r="R181" s="9" t="str">
        <x:v>依据表达方法整理</x:v>
      </x:c>
      <x:c r="S181" s="9" t="str">
        <x:v>诙谐</x:v>
      </x:c>
      <x:c r="T181" s="9" t="str">
        <x:v>杯里是茶，祝福一样认真。</x:v>
      </x:c>
      <x:c r="U181" s="9" t="str">
        <x:v>I’m raising a cup of tea, with the same warm wishes.</x:v>
      </x:c>
      <x:c r="V181" s="9" t="str">
        <x:v>烦心事先往旁边坐坐，给开心留个位子。来，敬你们，今天咱们好好吃饭。</x:v>
      </x:c>
      <x:c r="W181" s="9" t="str">
        <x:v>今天这一桌，我建议给开心留个位子。烦心事愿意聊，大家听着；暂时不想聊，就先吃点好吃的。来，敬你们，祝咱们都有把日子过得有滋味的本事。</x:v>
      </x:c>
      <x:c r="X181" s="9" t="str">
        <x:v>spoken</x:v>
      </x:c>
      <x:c r="Y181" s="9" t="str">
        <x:v>fun</x:v>
      </x:c>
      <x:c r="Z181" s="9" t="str"/>
      <x:c r="AA181" s="12" t="str"/>
    </x:row>
    <x:row r="182" ht="42" customHeight="1">
      <x:c r="A182" s="8" t="str">
        <x:v>spoken-friends-09</x:v>
      </x:c>
      <x:c r="B182" s="10" t="n">
        <x:v>1</x:v>
      </x:c>
      <x:c r="C182" s="8" t="str">
        <x:v>当前推荐</x:v>
      </x:c>
      <x:c r="D182" s="8" t="str">
        <x:v>朋友小聚</x:v>
      </x:c>
      <x:c r="E182" s="8" t="str">
        <x:v>全桌</x:v>
      </x:c>
      <x:c r="F182" s="8" t="str">
        <x:v>不光有正事，闲聊也行</x:v>
      </x:c>
      <x:c r="G182" s="8" t="str">
        <x:v>咱们之间，不光有正事，闲聊也行。这杯敬你们，愿朋友这件事一直热乎着。</x:v>
      </x:c>
      <x:c r="H182" s="8" t="str">
        <x:v>今天这杯敬你们。有正事可以商量，没正事也能闲聊，这样的朋友相处起来踏实。愿咱们各自忙得好，也把这份来往一直留着。</x:v>
      </x:c>
      <x:c r="I182" s="8" t="str">
        <x:v>To friends we can call without needing a special reason.</x:v>
      </x:c>
      <x:c r="J182" s="8" t="str">
        <x:v>敬那些不用找特别理由，也能联系的朋友。</x:v>
      </x:c>
      <x:c r="K182" s="8" t="str">
        <x:v>rhythm</x:v>
      </x:c>
      <x:c r="L182" s="8" t="str">
        <x:v>把话写给耳朵听</x:v>
      </x:c>
      <x:c r="M182" s="8" t="str"/>
      <x:c r="N182" s="8" t="str">
        <x:v>熟朋友可以带点笑意；别把共同经历编进话里。</x:v>
      </x:c>
      <x:c r="O182" s="8" t="str">
        <x:v>未限定</x:v>
      </x:c>
      <x:c r="P182" s="8" t="str">
        <x:v>未限定</x:v>
      </x:c>
      <x:c r="Q182" s="8" t="str">
        <x:v>未限定</x:v>
      </x:c>
      <x:c r="R182" s="8" t="str">
        <x:v>依据表达方法整理</x:v>
      </x:c>
      <x:c r="S182" s="8" t="str">
        <x:v>雅致</x:v>
      </x:c>
      <x:c r="T182" s="8" t="str">
        <x:v>我用茶陪大家，咱们自在就好。</x:v>
      </x:c>
      <x:c r="U182" s="8" t="str">
        <x:v>I’m raising a cup of tea, with the same warm wishes.</x:v>
      </x:c>
      <x:c r="V182" s="8" t="str">
        <x:v>咱们之间，不光有正事，闲聊也行。这杯敬你们，愿朋友这件事一直热乎着。</x:v>
      </x:c>
      <x:c r="W182" s="8" t="str">
        <x:v>今天这杯敬你们。有正事可以商量，没正事也能闲聊，这样的朋友相处起来踏实。愿咱们各自忙得好，也把这份来往一直留着。</x:v>
      </x:c>
      <x:c r="X182" s="8" t="str">
        <x:v>spoken</x:v>
      </x:c>
      <x:c r="Y182" s="8" t="str">
        <x:v>plain</x:v>
      </x:c>
      <x:c r="Z182" s="8" t="str"/>
      <x:c r="AA182" s="12" t="str"/>
    </x:row>
    <x:row r="183" ht="42" customHeight="1">
      <x:c r="A183" s="9" t="str">
        <x:v>spoken-friends-10</x:v>
      </x:c>
      <x:c r="B183" s="11" t="n">
        <x:v>1</x:v>
      </x:c>
      <x:c r="C183" s="9" t="str">
        <x:v>当前推荐</x:v>
      </x:c>
      <x:c r="D183" s="9" t="str">
        <x:v>朋友小聚</x:v>
      </x:c>
      <x:c r="E183" s="9" t="str">
        <x:v>全桌</x:v>
      </x:c>
      <x:c r="F183" s="9" t="str">
        <x:v>有滋味的，常是小事</x:v>
      </x:c>
      <x:c r="G183" s="9" t="str">
        <x:v>“把酒话桑麻”，有滋味的常是这些小事。今天敬你们，愿咱们以后还有许多家常可聊。</x:v>
      </x:c>
      <x:c r="H183" s="9" t="str">
        <x:v>“把酒话桑麻”，聊来聊去，也不过是生活里的小事。可跟朋友一起说，这些小事就有意思。今天敬你们，愿咱们日子里有点盼头，饭桌上总有话头。</x:v>
      </x:c>
      <x:c r="I183" s="9" t="str">
        <x:v>To little stories that become special when we share them with friends.</x:v>
      </x:c>
      <x:c r="J183" s="9" t="str">
        <x:v>敬那些和朋友一说，就变得有意思的小事。</x:v>
      </x:c>
      <x:c r="K183" s="9" t="str">
        <x:v>reunion</x:v>
      </x:c>
      <x:c r="L183" s="9" t="str">
        <x:v>相聚与再会</x:v>
      </x:c>
      <x:c r="M183" s="9" t="str">
        <x:v>把酒话桑麻</x:v>
      </x:c>
      <x:c r="N183" s="9" t="str">
        <x:v>熟朋友可以带点笑意；别把共同经历编进话里。</x:v>
      </x:c>
      <x:c r="O183" s="9" t="str">
        <x:v>未限定</x:v>
      </x:c>
      <x:c r="P183" s="9" t="str">
        <x:v>未限定</x:v>
      </x:c>
      <x:c r="Q183" s="9" t="str">
        <x:v>未限定</x:v>
      </x:c>
      <x:c r="R183" s="9" t="str">
        <x:v>引句后整理</x:v>
      </x:c>
      <x:c r="S183" s="9" t="str">
        <x:v>雅致</x:v>
      </x:c>
      <x:c r="T183" s="9" t="str">
        <x:v>今天我以茶代酒，心意都在。</x:v>
      </x:c>
      <x:c r="U183" s="9" t="str">
        <x:v>I’m raising a cup of tea, with the same warm wishes.</x:v>
      </x:c>
      <x:c r="V183" s="9" t="str">
        <x:v>“把酒话桑麻”，有滋味的常是这些小事。今天敬你们，愿咱们以后还有许多家常可聊。</x:v>
      </x:c>
      <x:c r="W183" s="9" t="str">
        <x:v>“把酒话桑麻”，聊来聊去，也不过是生活里的小事。可跟朋友一起说，这些小事就有意思。今天敬你们，愿咱们日子里有点盼头，饭桌上总有话头。</x:v>
      </x:c>
      <x:c r="X183" s="9" t="str">
        <x:v>spoken</x:v>
      </x:c>
      <x:c r="Y183" s="9" t="str">
        <x:v>verse</x:v>
      </x:c>
      <x:c r="Z183" s="9" t="str"/>
      <x:c r="AA183" s="12" t="str"/>
    </x:row>
    <x:row r="184" ht="42" customHeight="1">
      <x:c r="A184" s="8" t="str">
        <x:v>spoken-friends-11</x:v>
      </x:c>
      <x:c r="B184" s="10" t="n">
        <x:v>1</x:v>
      </x:c>
      <x:c r="C184" s="8" t="str">
        <x:v>当前推荐</x:v>
      </x:c>
      <x:c r="D184" s="8" t="str">
        <x:v>朋友小聚</x:v>
      </x:c>
      <x:c r="E184" s="8" t="str">
        <x:v>全桌</x:v>
      </x:c>
      <x:c r="F184" s="8" t="str">
        <x:v>祝大家都不用硬撑</x:v>
      </x:c>
      <x:c r="G184" s="8" t="str">
        <x:v>这杯祝大家都不用硬撑。开心就笑，累了就歇，想找人吃饭，咱们就约。</x:v>
      </x:c>
      <x:c r="H184" s="8" t="str">
        <x:v>朋友一桌，咱们就不用把自己装得特别能扛。开心的事说出来热闹热闹，累的时候也能喊一声。来，敬你们，愿大家日子越过越顺，也越过越自在。</x:v>
      </x:c>
      <x:c r="I184" s="8" t="str">
        <x:v>May we feel free to laugh, rest, and ask our friends for company.</x:v>
      </x:c>
      <x:c r="J184" s="8" t="str">
        <x:v>愿我们想笑就笑，累了能歇，也能自在地找朋友相伴。</x:v>
      </x:c>
      <x:c r="K184" s="8" t="str">
        <x:v>rhythm</x:v>
      </x:c>
      <x:c r="L184" s="8" t="str">
        <x:v>把话写给耳朵听</x:v>
      </x:c>
      <x:c r="M184" s="8" t="str"/>
      <x:c r="N184" s="8" t="str">
        <x:v>熟朋友可以带点笑意；别把共同经历编进话里。</x:v>
      </x:c>
      <x:c r="O184" s="8" t="str">
        <x:v>未限定</x:v>
      </x:c>
      <x:c r="P184" s="8" t="str">
        <x:v>未限定</x:v>
      </x:c>
      <x:c r="Q184" s="8" t="str">
        <x:v>未限定</x:v>
      </x:c>
      <x:c r="R184" s="8" t="str">
        <x:v>依据表达方法整理</x:v>
      </x:c>
      <x:c r="S184" s="8" t="str">
        <x:v>诙谐</x:v>
      </x:c>
      <x:c r="T184" s="8" t="str">
        <x:v>杯里是茶，祝福一样认真。</x:v>
      </x:c>
      <x:c r="U184" s="8" t="str">
        <x:v>I’m raising a cup of tea, with the same warm wishes.</x:v>
      </x:c>
      <x:c r="V184" s="8" t="str">
        <x:v>这杯祝大家都不用硬撑。开心就笑，累了就歇，想找人吃饭，咱们就约。</x:v>
      </x:c>
      <x:c r="W184" s="8" t="str">
        <x:v>朋友一桌，咱们就不用把自己装得特别能扛。开心的事说出来热闹热闹，累的时候也能喊一声。来，敬你们，愿大家日子越过越顺，也越过越自在。</x:v>
      </x:c>
      <x:c r="X184" s="8" t="str">
        <x:v>spoken</x:v>
      </x:c>
      <x:c r="Y184" s="8" t="str">
        <x:v>fun</x:v>
      </x:c>
      <x:c r="Z184" s="8" t="str"/>
      <x:c r="AA184" s="12" t="str"/>
    </x:row>
    <x:row r="185" ht="42" customHeight="1">
      <x:c r="A185" s="9" t="str">
        <x:v>spoken-friends-12</x:v>
      </x:c>
      <x:c r="B185" s="11" t="n">
        <x:v>1</x:v>
      </x:c>
      <x:c r="C185" s="9" t="str">
        <x:v>当前推荐</x:v>
      </x:c>
      <x:c r="D185" s="9" t="str">
        <x:v>朋友小聚</x:v>
      </x:c>
      <x:c r="E185" s="9" t="str">
        <x:v>全桌</x:v>
      </x:c>
      <x:c r="F185" s="9" t="str">
        <x:v>别只赞照片，也来见见人</x:v>
      </x:c>
      <x:c r="G185" s="9" t="str">
        <x:v>朋友圈的赞咱们照点，真人也得见见。这杯敬你们，祝下次见面还有好多话要聊。</x:v>
      </x:c>
      <x:c r="H185" s="9" t="str">
        <x:v>照片看过，消息回过，还是坐一桌最带劲。今天敬你们，祝各位有好事可分享，也有闲心出来吃饭。下次见面，咱们还接着聊。</x:v>
      </x:c>
      <x:c r="I185" s="9" t="str">
        <x:v>The photos are lovely, but seeing you in person is better. Cheers to meeting again!</x:v>
      </x:c>
      <x:c r="J185" s="9" t="str">
        <x:v>照片很好看，见到本人更高兴，敬下次相聚。</x:v>
      </x:c>
      <x:c r="K185" s="9" t="str">
        <x:v>rhythm</x:v>
      </x:c>
      <x:c r="L185" s="9" t="str">
        <x:v>把话写给耳朵听</x:v>
      </x:c>
      <x:c r="M185" s="9" t="str"/>
      <x:c r="N185" s="9" t="str">
        <x:v>熟朋友可以带点笑意；别把共同经历编进话里。</x:v>
      </x:c>
      <x:c r="O185" s="9" t="str">
        <x:v>未限定</x:v>
      </x:c>
      <x:c r="P185" s="9" t="str">
        <x:v>未限定</x:v>
      </x:c>
      <x:c r="Q185" s="9" t="str">
        <x:v>未限定</x:v>
      </x:c>
      <x:c r="R185" s="9" t="str">
        <x:v>依据表达方法整理</x:v>
      </x:c>
      <x:c r="S185" s="9" t="str">
        <x:v>诙谐</x:v>
      </x:c>
      <x:c r="T185" s="9" t="str">
        <x:v>我用茶陪大家，咱们自在就好。</x:v>
      </x:c>
      <x:c r="U185" s="9" t="str">
        <x:v>I’m raising a cup of tea, with the same warm wishes.</x:v>
      </x:c>
      <x:c r="V185" s="9" t="str">
        <x:v>朋友圈的赞咱们照点，真人也得见见。这杯敬你们，祝下次见面还有好多话要聊。</x:v>
      </x:c>
      <x:c r="W185" s="9" t="str">
        <x:v>照片看过，消息回过，还是坐一桌最带劲。今天敬你们，祝各位有好事可分享，也有闲心出来吃饭。下次见面，咱们还接着聊。</x:v>
      </x:c>
      <x:c r="X185" s="9" t="str">
        <x:v>spoken</x:v>
      </x:c>
      <x:c r="Y185" s="9" t="str">
        <x:v>fun</x:v>
      </x:c>
      <x:c r="Z185" s="9" t="str"/>
      <x:c r="AA185" s="12" t="str"/>
    </x:row>
    <x:row r="186" ht="57" customHeight="1">
      <x:c r="A186" s="8" t="str">
        <x:v>verse-bai-invite-friends</x:v>
      </x:c>
      <x:c r="B186" s="10" t="n">
        <x:v>1</x:v>
      </x:c>
      <x:c r="C186" s="8" t="str">
        <x:v>当前推荐</x:v>
      </x:c>
      <x:c r="D186" s="8" t="str">
        <x:v>朋友小聚</x:v>
      </x:c>
      <x:c r="E186" s="8" t="str">
        <x:v>全桌</x:v>
      </x:c>
      <x:c r="F186" s="8" t="str">
        <x:v>有空相陪，比好酒难得</x:v>
      </x:c>
      <x:c r="G186" s="8" t="str">
        <x:v>“晚来天欲雪，能饮一杯无？”这一问里，最暖的是想和朋友待一会儿。今天谢谢你们来，愿咱们总有话可聊，也总有空再聚。</x:v>
      </x:c>
      <x:c r="H186" s="8" t="str">
        <x:v>“晚来天欲雪，能饮一杯无？”白居易问的像是一杯酒，其实也问：能不能来坐一会儿？今天有你们同桌，这份高兴就很实在。这杯敬咱们的交情，愿往后的日子，再忙也有人惦记，再累也有人愿意听几句。</x:v>
      </x:c>
      <x:c r="I186" s="8" t="str">
        <x:v>To friends who make time to sit with us, listen, and share an ordinary evening.</x:v>
      </x:c>
      <x:c r="J186" s="8" t="str">
        <x:v>敬愿意留时间相陪、愿意倾听的朋友。</x:v>
      </x:c>
      <x:c r="K186" s="8" t="str">
        <x:v>poem-bai-invite</x:v>
      </x:c>
      <x:c r="L186" s="8" t="str">
        <x:v>白居易《问刘十九》</x:v>
      </x:c>
      <x:c r="M186" s="8" t="str">
        <x:v>晚来天欲雪，能饮一杯无？</x:v>
      </x:c>
      <x:c r="N186" s="8" t="str">
        <x:v>原诗以炉火、新酒和雪意邀友；今天借的是愿意相陪的心意，不预报现场天气。</x:v>
      </x:c>
      <x:c r="O186" s="8" t="str">
        <x:v>夜晚小酌、邀饮待客、好友知己</x:v>
      </x:c>
      <x:c r="P186" s="8" t="str">
        <x:v>未限定</x:v>
      </x:c>
      <x:c r="Q186" s="8" t="str">
        <x:v>未限定</x:v>
      </x:c>
      <x:c r="R186" s="8" t="str">
        <x:v>引句后整理</x:v>
      </x:c>
      <x:c r="S186" s="8" t="str">
        <x:v>雅致</x:v>
      </x:c>
      <x:c r="T186" s="8" t="str">
        <x:v>我以茶代酒，心意一样。</x:v>
      </x:c>
      <x:c r="U186" s="8" t="str">
        <x:v>With tea in my cup and the same warm wishes.</x:v>
      </x:c>
      <x:c r="V186" s="8" t="str">
        <x:v>“晚来天欲雪，能饮一杯无？”这一问里，最暖的是想和朋友待一会儿。今天谢谢你们来，愿咱们总有话可聊，也总有空再聚。</x:v>
      </x:c>
      <x:c r="W186" s="8" t="str">
        <x:v>“晚来天欲雪，能饮一杯无？”白居易问的像是一杯酒，其实也问：能不能来坐一会儿？今天有你们同桌，这份高兴就很实在。这杯敬咱们的交情，愿往后的日子，再忙也有人惦记，再累也有人愿意听几句。</x:v>
      </x:c>
      <x:c r="X186" s="8" t="str">
        <x:v>spoken</x:v>
      </x:c>
      <x:c r="Y186" s="8" t="str">
        <x:v>verse</x:v>
      </x:c>
      <x:c r="Z186" s="8" t="str"/>
      <x:c r="AA186" s="12" t="str"/>
    </x:row>
    <x:row r="187" ht="57" customHeight="1">
      <x:c r="A187" s="9" t="str">
        <x:v>verse-bai-moonfriend-friends</x:v>
      </x:c>
      <x:c r="B187" s="11" t="n">
        <x:v>1</x:v>
      </x:c>
      <x:c r="C187" s="9" t="str">
        <x:v>当前推荐</x:v>
      </x:c>
      <x:c r="D187" s="9" t="str">
        <x:v>朋友小聚</x:v>
      </x:c>
      <x:c r="E187" s="9" t="str">
        <x:v>全桌</x:v>
      </x:c>
      <x:c r="F187" s="9" t="str">
        <x:v>月圆有期，朋友常聚</x:v>
      </x:c>
      <x:c r="G187" s="9" t="str">
        <x:v>“三五夜中新月色，二千里外故人心。”今天中秋，敬同桌的朋友，也念远方的朋友。愿咱们各自安好，来往不断，下次相聚早点有期。</x:v>
      </x:c>
      <x:c r="H187" s="9" t="str">
        <x:v>“三五夜中新月色，二千里外故人心。”白居易中秋念友，隔着千里也把心意送到。今天有些朋友在眼前，有些朋友在远方，都值得惦记。这杯敬咱们的交情，愿各自过得好，想念有回音，月圆有期，相聚也常有期。</x:v>
      </x:c>
      <x:c r="I187" s="9" t="str">
        <x:v>To friends near and far this Mid-Autumn. May our lives be good and our next gathering come soon.</x:v>
      </x:c>
      <x:c r="J187" s="9" t="str">
        <x:v>中秋敬远近朋友，愿各自安好，也愿下次相聚早些到来。</x:v>
      </x:c>
      <x:c r="K187" s="9" t="str">
        <x:v>poem-bai-moonfriend</x:v>
      </x:c>
      <x:c r="L187" s="9" t="str">
        <x:v>白居易《八月十五日夜禁中独直对月忆元九》</x:v>
      </x:c>
      <x:c r="M187" s="9" t="str">
        <x:v>三五夜中新月色，二千里外故人心。</x:v>
      </x:c>
      <x:c r="N187" s="9" t="str">
        <x:v>三五指十五，原诗中秋独直思友，也担心友人遇阴天；月圆是节日意象，不断言现场见月。</x:v>
      </x:c>
      <x:c r="O187" s="9" t="str">
        <x:v>月色入杯、夜晚小酌、邀饮待客、好友知己、团圆相聚</x:v>
      </x:c>
      <x:c r="P187" s="9" t="str">
        <x:v>未限定</x:v>
      </x:c>
      <x:c r="Q187" s="9" t="str">
        <x:v>中秋</x:v>
      </x:c>
      <x:c r="R187" s="9" t="str">
        <x:v>引句后整理</x:v>
      </x:c>
      <x:c r="S187" s="9" t="str">
        <x:v>雅致</x:v>
      </x:c>
      <x:c r="T187" s="9" t="str">
        <x:v>我以茶代酒，心意一样。</x:v>
      </x:c>
      <x:c r="U187" s="9" t="str">
        <x:v>With tea in my cup and the same warm wishes.</x:v>
      </x:c>
      <x:c r="V187" s="9" t="str">
        <x:v>“三五夜中新月色，二千里外故人心。”今天中秋，敬同桌的朋友，也念远方的朋友。愿咱们各自安好，来往不断，下次相聚早点有期。</x:v>
      </x:c>
      <x:c r="W187" s="9" t="str">
        <x:v>“三五夜中新月色，二千里外故人心。”白居易中秋念友，隔着千里也把心意送到。今天有些朋友在眼前，有些朋友在远方，都值得惦记。这杯敬咱们的交情，愿各自过得好，想念有回音，月圆有期，相聚也常有期。</x:v>
      </x:c>
      <x:c r="X187" s="9" t="str">
        <x:v>spoken</x:v>
      </x:c>
      <x:c r="Y187" s="9" t="str">
        <x:v>verse</x:v>
      </x:c>
      <x:c r="Z187" s="9" t="str"/>
      <x:c r="AA187" s="12" t="str"/>
    </x:row>
    <x:row r="188" ht="57" customHeight="1">
      <x:c r="A188" s="8" t="str">
        <x:v>verse-bai-next</x:v>
      </x:c>
      <x:c r="B188" s="10" t="n">
        <x:v>1</x:v>
      </x:c>
      <x:c r="C188" s="8" t="str">
        <x:v>当前推荐</x:v>
      </x:c>
      <x:c r="D188" s="8" t="str">
        <x:v>朋友小聚</x:v>
      </x:c>
      <x:c r="E188" s="8" t="str">
        <x:v>全桌</x:v>
      </x:c>
      <x:c r="F188" s="8" t="str">
        <x:v>这一席，也约下一席</x:v>
      </x:c>
      <x:c r="G188" s="8" t="str">
        <x:v>“更待菊黄家酝熟，共君一醉一陶然。”白居易喝着这一席，已经惦记下一席。咱们也借这份心意：今天尽兴，往后有约，别把相聚都留给改天。</x:v>
      </x:c>
      <x:c r="H188" s="8" t="str">
        <x:v>“更待菊黄家酝熟，共君一醉一陶然。”我喜欢白居易这句里的“更待”：眼前相聚高兴，往后还有期待。今天这杯敬你们，愿咱们各自的生活有好消息，朋友之间有新话题；下一次见面，能早点定个日子。</x:v>
      </x:c>
      <x:c r="I188" s="8" t="str">
        <x:v>To the pleasure of this gathering and the promise of another. May “soon” become a date we can keep.</x:v>
      </x:c>
      <x:c r="J188" s="8" t="str">
        <x:v>敬眼前相聚，也盼下一次早些有日期。</x:v>
      </x:c>
      <x:c r="K188" s="8" t="str">
        <x:v>poem-bai-next</x:v>
      </x:c>
      <x:c r="L188" s="8" t="str">
        <x:v>白居易《与梦得沽酒闲饮，且约后期》</x:v>
      </x:c>
      <x:c r="M188" s="8" t="str">
        <x:v>更待菊黄家酝熟，共君一醉一陶然。</x:v>
      </x:c>
      <x:c r="N188" s="8" t="str">
        <x:v>酝读yùn，酿成的酒；“更待”说的是把下次相聚放在心上。 原诗与刘禹锡闲饮并约下次；取把再会放在心上的亲近，醉字是诗意，不作饮量要求。</x:v>
      </x:c>
      <x:c r="O188" s="8" t="str">
        <x:v>邀饮待客、好友知己、团圆相聚</x:v>
      </x:c>
      <x:c r="P188" s="8" t="str">
        <x:v>未限定</x:v>
      </x:c>
      <x:c r="Q188" s="8" t="str">
        <x:v>未限定</x:v>
      </x:c>
      <x:c r="R188" s="8" t="str">
        <x:v>引句后整理</x:v>
      </x:c>
      <x:c r="S188" s="8" t="str">
        <x:v>雅致</x:v>
      </x:c>
      <x:c r="T188" s="8" t="str">
        <x:v>我以茶代酒，心意一样。</x:v>
      </x:c>
      <x:c r="U188" s="8" t="str">
        <x:v>With tea in my cup and the same warm wishes.</x:v>
      </x:c>
      <x:c r="V188" s="8" t="str">
        <x:v>“更待菊黄家酝熟，共君一醉一陶然。”白居易喝着这一席，已经惦记下一席。咱们也借这份心意：今天尽兴，往后有约，别把相聚都留给改天。</x:v>
      </x:c>
      <x:c r="W188" s="8" t="str">
        <x:v>“更待菊黄家酝熟，共君一醉一陶然。”我喜欢白居易这句里的“更待”：眼前相聚高兴，往后还有期待。今天这杯敬你们，愿咱们各自的生活有好消息，朋友之间有新话题；下一次见面，能早点定个日子。</x:v>
      </x:c>
      <x:c r="X188" s="8" t="str">
        <x:v>spoken</x:v>
      </x:c>
      <x:c r="Y188" s="8" t="str">
        <x:v>verse</x:v>
      </x:c>
      <x:c r="Z188" s="8" t="str"/>
      <x:c r="AA188" s="12" t="str"/>
    </x:row>
    <x:row r="189" ht="57" customHeight="1">
      <x:c r="A189" s="9" t="str">
        <x:v>verse-cen-joke</x:v>
      </x:c>
      <x:c r="B189" s="11" t="n">
        <x:v>1</x:v>
      </x:c>
      <x:c r="C189" s="9" t="str">
        <x:v>当前推荐</x:v>
      </x:c>
      <x:c r="D189" s="9" t="str">
        <x:v>朋友小聚</x:v>
      </x:c>
      <x:c r="E189" s="9" t="str">
        <x:v>全桌</x:v>
      </x:c>
      <x:c r="F189" s="9" t="str">
        <x:v>买酒不靠榆钱，相聚靠真心</x:v>
      </x:c>
      <x:c r="G189" s="9" t="str">
        <x:v>岑参问“道傍榆荚仍似钱，摘来沽酒君肯否？”古人连榆钱都想拿来买酒。咱们今天不比谁排场大，敬的是能坐在一起，有话可聊。</x:v>
      </x:c>
      <x:c r="H189" s="9" t="str">
        <x:v>“道傍榆荚仍似钱，摘来沽酒君肯否？”岑参这玩笑开得有趣：榆树上长的“钱”，能不能换一杯酒？今天借这点雅趣敬你们。饭可以吃家常的，话可以说自在的；咱们不比谁的排场大，就盼朋友真诚，见面开心。</x:v>
      </x:c>
      <x:c r="I189" s="9" t="str">
        <x:v>To a little imagination, a shared laugh, and friendships that do not need an expensive setting.</x:v>
      </x:c>
      <x:c r="J189" s="9" t="str">
        <x:v>敬一点雅趣、一份笑意，也敬不必讲排场的交情。</x:v>
      </x:c>
      <x:c r="K189" s="9" t="str">
        <x:v>poem-cen-joke</x:v>
      </x:c>
      <x:c r="L189" s="9" t="str">
        <x:v>岑参《戏问花门酒家翁》</x:v>
      </x:c>
      <x:c r="M189" s="9" t="str">
        <x:v>道傍榆荚仍似钱，摘来沽酒君肯否？</x:v>
      </x:c>
      <x:c r="N189" s="9" t="str">
        <x:v>榆荚读yú jiá，也叫榆钱；先解释像钱的树果，再笑着接心意。 诗人把榆荚比作钱，向酒家翁打趣；借想象的幽默，不冒称今天赊账或未付饭钱。</x:v>
      </x:c>
      <x:c r="O189" s="9" t="str">
        <x:v>邀饮待客、好友知己</x:v>
      </x:c>
      <x:c r="P189" s="9" t="str">
        <x:v>未限定</x:v>
      </x:c>
      <x:c r="Q189" s="9" t="str">
        <x:v>未限定</x:v>
      </x:c>
      <x:c r="R189" s="9" t="str">
        <x:v>引句后整理</x:v>
      </x:c>
      <x:c r="S189" s="9" t="str">
        <x:v>雅致</x:v>
      </x:c>
      <x:c r="T189" s="9" t="str">
        <x:v>我以茶代酒，心意一样。</x:v>
      </x:c>
      <x:c r="U189" s="9" t="str">
        <x:v>With tea in my cup and the same warm wishes.</x:v>
      </x:c>
      <x:c r="V189" s="9" t="str">
        <x:v>岑参问“道傍榆荚仍似钱，摘来沽酒君肯否？”古人连榆钱都想拿来买酒。咱们今天不比谁排场大，敬的是能坐在一起，有话可聊。</x:v>
      </x:c>
      <x:c r="W189" s="9" t="str">
        <x:v>“道傍榆荚仍似钱，摘来沽酒君肯否？”岑参这玩笑开得有趣：榆树上长的“钱”，能不能换一杯酒？今天借这点雅趣敬你们。饭可以吃家常的，话可以说自在的；咱们不比谁的排场大，就盼朋友真诚，见面开心。</x:v>
      </x:c>
      <x:c r="X189" s="9" t="str">
        <x:v>spoken</x:v>
      </x:c>
      <x:c r="Y189" s="9" t="str">
        <x:v>verse</x:v>
      </x:c>
      <x:c r="Z189" s="9" t="str"/>
      <x:c r="AA189" s="12" t="str"/>
    </x:row>
    <x:row r="190" ht="57" customHeight="1">
      <x:c r="A190" s="8" t="str">
        <x:v>verse-chen-night</x:v>
      </x:c>
      <x:c r="B190" s="10" t="n">
        <x:v>1</x:v>
      </x:c>
      <x:c r="C190" s="8" t="str">
        <x:v>当前推荐</x:v>
      </x:c>
      <x:c r="D190" s="8" t="str">
        <x:v>朋友小聚</x:v>
      </x:c>
      <x:c r="E190" s="8" t="str">
        <x:v>全桌</x:v>
      </x:c>
      <x:c r="F190" s="8" t="str">
        <x:v>值得记住的，是一起的人</x:v>
      </x:c>
      <x:c r="G190" s="8" t="str">
        <x:v>“杏花疏影里，吹笛到天明。”有些聚会，后来记住的未必是吃了什么，是当时身边有谁。这杯敬你们，也敬往后还会有的好时光。</x:v>
      </x:c>
      <x:c r="H190" s="8" t="str">
        <x:v>陈与义回忆旧日相聚，写“杏花疏影里，吹笛到天明。”。我想，好时光之所以记得住，常常是因为那时身边的人。今天这杯敬你们：愿咱们不只回味从前，也常有新的相聚、新的笑话，往后的日子，还有许多值得记住的时刻。</x:v>
      </x:c>
      <x:c r="I190" s="8" t="str">
        <x:v>To the people who make our memories special, and to new moments we will be glad to remember together.</x:v>
      </x:c>
      <x:c r="J190" s="8" t="str">
        <x:v>敬让记忆珍贵的人，也盼共同创造新的好时光。</x:v>
      </x:c>
      <x:c r="K190" s="8" t="str">
        <x:v>poem-chen-night</x:v>
      </x:c>
      <x:c r="L190" s="8" t="str">
        <x:v>陈与义《临江仙·夜登小阁忆洛中旧游》</x:v>
      </x:c>
      <x:c r="M190" s="8" t="str">
        <x:v>杏花疏影里，吹笛到天明。</x:v>
      </x:c>
      <x:c r="N190" s="8" t="str">
        <x:v>原词回忆旧游，后半有二十余年与世变之感；此处只借记忆中相聚的美，不要求熬夜尽兴。</x:v>
      </x:c>
      <x:c r="O190" s="8" t="str">
        <x:v>夜晚小酌、好友知己</x:v>
      </x:c>
      <x:c r="P190" s="8" t="str">
        <x:v>未限定</x:v>
      </x:c>
      <x:c r="Q190" s="8" t="str">
        <x:v>未限定</x:v>
      </x:c>
      <x:c r="R190" s="8" t="str">
        <x:v>引句后整理</x:v>
      </x:c>
      <x:c r="S190" s="8" t="str">
        <x:v>雅致</x:v>
      </x:c>
      <x:c r="T190" s="8" t="str">
        <x:v>我以茶代酒，心意一样。</x:v>
      </x:c>
      <x:c r="U190" s="8" t="str">
        <x:v>With tea in my cup and the same warm wishes.</x:v>
      </x:c>
      <x:c r="V190" s="8" t="str">
        <x:v>“杏花疏影里，吹笛到天明。”有些聚会，后来记住的未必是吃了什么，是当时身边有谁。这杯敬你们，也敬往后还会有的好时光。</x:v>
      </x:c>
      <x:c r="W190" s="8" t="str">
        <x:v>陈与义回忆旧日相聚，写“杏花疏影里，吹笛到天明。”。我想，好时光之所以记得住，常常是因为那时身边的人。今天这杯敬你们：愿咱们不只回味从前，也常有新的相聚、新的笑话，往后的日子，还有许多值得记住的时刻。</x:v>
      </x:c>
      <x:c r="X190" s="8" t="str">
        <x:v>spoken</x:v>
      </x:c>
      <x:c r="Y190" s="8" t="str">
        <x:v>verse</x:v>
      </x:c>
      <x:c r="Z190" s="8" t="str"/>
      <x:c r="AA190" s="12" t="str"/>
    </x:row>
    <x:row r="191" ht="57" customHeight="1">
      <x:c r="A191" s="9" t="str">
        <x:v>verse-dai-reunion</x:v>
      </x:c>
      <x:c r="B191" s="11" t="n">
        <x:v>1</x:v>
      </x:c>
      <x:c r="C191" s="9" t="str">
        <x:v>当前推荐</x:v>
      </x:c>
      <x:c r="D191" s="9" t="str">
        <x:v>朋友小聚</x:v>
      </x:c>
      <x:c r="E191" s="9" t="str">
        <x:v>全桌</x:v>
      </x:c>
      <x:c r="F191" s="9" t="str">
        <x:v>见面这件事，要认真高兴</x:v>
      </x:c>
      <x:c r="G191" s="9" t="str">
        <x:v>“还作江南会，翻疑梦里逢。”古人重逢，欢喜得像在梦里。今天咱们踏踏实实坐到一桌，这件事，也值得认真高兴。敬你们。</x:v>
      </x:c>
      <x:c r="H191" s="9" t="str">
        <x:v>戴叔伦写“还作江南会，翻疑梦里逢”，故人相见，那份高兴很真。今天咱们能坐在这一桌，就别急着把话都说成客套。这杯敬你们，愿各自的近况都有人愿意听，往后的生活也有更多好消息，值得再约一顿饭慢慢聊。</x:v>
      </x:c>
      <x:c r="I191" s="9" t="str">
        <x:v>To the simple happiness of seeing one another, hearing how life has been, and making plans to meet again.</x:v>
      </x:c>
      <x:c r="J191" s="9" t="str">
        <x:v>敬见面的欢喜、认真听取的近况，也盼再聚。</x:v>
      </x:c>
      <x:c r="K191" s="9" t="str">
        <x:v>poem-dai-reunion</x:v>
      </x:c>
      <x:c r="L191" s="9" t="str">
        <x:v>戴叔伦《客夜与故人偶集》</x:v>
      </x:c>
      <x:c r="M191" s="9" t="str">
        <x:v>还作江南会，翻疑梦里逢。</x:v>
      </x:c>
      <x:c r="N191" s="9" t="str">
        <x:v>原诗异地偶逢故人，有惊喜也有羁旅惜别；借相见的珍惜，不编造今日巧遇或共同故乡。</x:v>
      </x:c>
      <x:c r="O191" s="9" t="str">
        <x:v>夜晚小酌、好友知己、团圆相聚</x:v>
      </x:c>
      <x:c r="P191" s="9" t="str">
        <x:v>未限定</x:v>
      </x:c>
      <x:c r="Q191" s="9" t="str">
        <x:v>未限定</x:v>
      </x:c>
      <x:c r="R191" s="9" t="str">
        <x:v>引句后整理</x:v>
      </x:c>
      <x:c r="S191" s="9" t="str">
        <x:v>雅致</x:v>
      </x:c>
      <x:c r="T191" s="9" t="str">
        <x:v>我以茶代酒，心意一样。</x:v>
      </x:c>
      <x:c r="U191" s="9" t="str">
        <x:v>With tea in my cup and the same warm wishes.</x:v>
      </x:c>
      <x:c r="V191" s="9" t="str">
        <x:v>“还作江南会，翻疑梦里逢。”古人重逢，欢喜得像在梦里。今天咱们踏踏实实坐到一桌，这件事，也值得认真高兴。敬你们。</x:v>
      </x:c>
      <x:c r="W191" s="9" t="str">
        <x:v>戴叔伦写“还作江南会，翻疑梦里逢”，故人相见，那份高兴很真。今天咱们能坐在这一桌，就别急着把话都说成客套。这杯敬你们，愿各自的近况都有人愿意听，往后的生活也有更多好消息，值得再约一顿饭慢慢聊。</x:v>
      </x:c>
      <x:c r="X191" s="9" t="str">
        <x:v>spoken</x:v>
      </x:c>
      <x:c r="Y191" s="9" t="str">
        <x:v>verse</x:v>
      </x:c>
      <x:c r="Z191" s="9" t="str"/>
      <x:c r="AA191" s="12" t="str"/>
    </x:row>
    <x:row r="192" ht="57" customHeight="1">
      <x:c r="A192" s="8" t="str">
        <x:v>verse-du-lamplight</x:v>
      </x:c>
      <x:c r="B192" s="10" t="n">
        <x:v>1</x:v>
      </x:c>
      <x:c r="C192" s="8" t="str">
        <x:v>当前推荐</x:v>
      </x:c>
      <x:c r="D192" s="8" t="str">
        <x:v>朋友小聚</x:v>
      </x:c>
      <x:c r="E192" s="8" t="str">
        <x:v>全桌</x:v>
      </x:c>
      <x:c r="F192" s="8" t="str">
        <x:v>灯下能相聚，就是好时候</x:v>
      </x:c>
      <x:c r="G192" s="8" t="str">
        <x:v>“今夕复何夕，共此灯烛光。”今天不论隔了多久，能坐在一起，把彼此的近况听一听，就是好时候。这杯敬你们。</x:v>
      </x:c>
      <x:c r="H192" s="8" t="str">
        <x:v>“今夕复何夕，共此灯烛光。”杜甫把重逢写成灯下的一声感叹。我今天借这句，不说别的，只觉得能坐下来听你们讲讲近况，很好。这杯敬相聚，愿大家各有收获，也总有人记得你最近过得怎么样。</x:v>
      </x:c>
      <x:c r="I192" s="8" t="str">
        <x:v>To being together again, sharing the stories of our lives, and caring enough to ask how each other is doing.</x:v>
      </x:c>
      <x:c r="J192" s="8" t="str">
        <x:v>敬相聚与近况，也敬彼此认真关心的心意。</x:v>
      </x:c>
      <x:c r="K192" s="8" t="str">
        <x:v>poem-du-lamplight</x:v>
      </x:c>
      <x:c r="L192" s="8" t="str">
        <x:v>杜甫《赠卫八处士》</x:v>
      </x:c>
      <x:c r="M192" s="8" t="str">
        <x:v>今夕复何夕，共此灯烛光。</x:v>
      </x:c>
      <x:c r="N192" s="8" t="str">
        <x:v>原诗久别重逢，兼有岁月感慨；此处只借同灯相坐的珍惜，不编造二十年未见。</x:v>
      </x:c>
      <x:c r="O192" s="8" t="str">
        <x:v>夜晚小酌、好友知己、团圆相聚</x:v>
      </x:c>
      <x:c r="P192" s="8" t="str">
        <x:v>未限定</x:v>
      </x:c>
      <x:c r="Q192" s="8" t="str">
        <x:v>未限定</x:v>
      </x:c>
      <x:c r="R192" s="8" t="str">
        <x:v>引句后整理</x:v>
      </x:c>
      <x:c r="S192" s="8" t="str">
        <x:v>雅致</x:v>
      </x:c>
      <x:c r="T192" s="8" t="str">
        <x:v>我以茶代酒，心意一样。</x:v>
      </x:c>
      <x:c r="U192" s="8" t="str">
        <x:v>With tea in my cup and the same warm wishes.</x:v>
      </x:c>
      <x:c r="V192" s="8" t="str">
        <x:v>“今夕复何夕，共此灯烛光。”今天不论隔了多久，能坐在一起，把彼此的近况听一听，就是好时候。这杯敬你们。</x:v>
      </x:c>
      <x:c r="W192" s="8" t="str">
        <x:v>“今夕复何夕，共此灯烛光。”杜甫把重逢写成灯下的一声感叹。我今天借这句，不说别的，只觉得能坐下来听你们讲讲近况，很好。这杯敬相聚，愿大家各有收获，也总有人记得你最近过得怎么样。</x:v>
      </x:c>
      <x:c r="X192" s="8" t="str">
        <x:v>spoken</x:v>
      </x:c>
      <x:c r="Y192" s="8" t="str">
        <x:v>verse</x:v>
      </x:c>
      <x:c r="Z192" s="8" t="str"/>
      <x:c r="AA192" s="12" t="str"/>
    </x:row>
    <x:row r="193" ht="57" customHeight="1">
      <x:c r="A193" s="9" t="str">
        <x:v>verse-huang-friend</x:v>
      </x:c>
      <x:c r="B193" s="11" t="n">
        <x:v>1</x:v>
      </x:c>
      <x:c r="C193" s="9" t="str">
        <x:v>当前推荐</x:v>
      </x:c>
      <x:c r="D193" s="9" t="str">
        <x:v>朋友小聚</x:v>
      </x:c>
      <x:c r="E193" s="9" t="str">
        <x:v>全桌</x:v>
      </x:c>
      <x:c r="F193" s="9" t="str">
        <x:v>把想念，落成这次见面</x:v>
      </x:c>
      <x:c r="G193" s="9" t="str">
        <x:v>“桃李春风一杯酒，江湖夜雨十年灯。”朋友之间，总有各自奔忙的时候。难得今天又能同桌，把想念落成见面，这杯值得敬。</x:v>
      </x:c>
      <x:c r="H193" s="9" t="str">
        <x:v>“桃李春风一杯酒，江湖夜雨十年灯。”黄庭坚写远方朋友，一边是相聚的春风，一边是别后的灯火。今天能坐在一起，就把各自奔忙的日子也聊聊。这杯敬你们，愿往后想见的时候，不总隔着一句“改天”；见面有话，分别也惦记。</x:v>
      </x:c>
      <x:c r="I193" s="9" t="str">
        <x:v>To turning thoughts of our friends into time spent together, and to keeping room for the next gathering.</x:v>
      </x:c>
      <x:c r="J193" s="9" t="str">
        <x:v>敬把想念变成见面，也愿为下一次相聚留出时间。</x:v>
      </x:c>
      <x:c r="K193" s="9" t="str">
        <x:v>poem-huang-friend</x:v>
      </x:c>
      <x:c r="L193" s="9" t="str">
        <x:v>黄庭坚《寄黄几复》</x:v>
      </x:c>
      <x:c r="M193" s="9" t="str">
        <x:v>桃李春风一杯酒，江湖夜雨十年灯。</x:v>
      </x:c>
      <x:c r="N193" s="9" t="str">
        <x:v>原诗怀念远方友人，回望相聚与多年别后；不宣称在座恰好十年未见。</x:v>
      </x:c>
      <x:c r="O193" s="9" t="str">
        <x:v>夜晚小酌、好友知己</x:v>
      </x:c>
      <x:c r="P193" s="9" t="str">
        <x:v>未限定</x:v>
      </x:c>
      <x:c r="Q193" s="9" t="str">
        <x:v>未限定</x:v>
      </x:c>
      <x:c r="R193" s="9" t="str">
        <x:v>引句后整理</x:v>
      </x:c>
      <x:c r="S193" s="9" t="str">
        <x:v>雅致</x:v>
      </x:c>
      <x:c r="T193" s="9" t="str">
        <x:v>我以茶代酒，心意一样。</x:v>
      </x:c>
      <x:c r="U193" s="9" t="str">
        <x:v>With tea in my cup and the same warm wishes.</x:v>
      </x:c>
      <x:c r="V193" s="9" t="str">
        <x:v>“桃李春风一杯酒，江湖夜雨十年灯。”朋友之间，总有各自奔忙的时候。难得今天又能同桌，把想念落成见面，这杯值得敬。</x:v>
      </x:c>
      <x:c r="W193" s="9" t="str">
        <x:v>“桃李春风一杯酒，江湖夜雨十年灯。”黄庭坚写远方朋友，一边是相聚的春风，一边是别后的灯火。今天能坐在一起，就把各自奔忙的日子也聊聊。这杯敬你们，愿往后想见的时候，不总隔着一句“改天”；见面有话，分别也惦记。</x:v>
      </x:c>
      <x:c r="X193" s="9" t="str">
        <x:v>spoken</x:v>
      </x:c>
      <x:c r="Y193" s="9" t="str">
        <x:v>verse</x:v>
      </x:c>
      <x:c r="Z193" s="9" t="str"/>
      <x:c r="AA193" s="12" t="str"/>
    </x:row>
    <x:row r="194" ht="57" customHeight="1">
      <x:c r="A194" s="8" t="str">
        <x:v>verse-li-mountain</x:v>
      </x:c>
      <x:c r="B194" s="10" t="n">
        <x:v>1</x:v>
      </x:c>
      <x:c r="C194" s="8" t="str">
        <x:v>当前推荐</x:v>
      </x:c>
      <x:c r="D194" s="8" t="str">
        <x:v>朋友小聚</x:v>
      </x:c>
      <x:c r="E194" s="8" t="str">
        <x:v>全桌</x:v>
      </x:c>
      <x:c r="F194" s="8" t="str">
        <x:v>来去自在，情谊还在</x:v>
      </x:c>
      <x:c r="G194" s="8" t="str">
        <x:v>“我醉欲眠卿且去，明朝有意抱琴来。”老朋友的好，就在不用时时客气。今天随意，往后常来；话没聊完，下回接着聊。</x:v>
      </x:c>
      <x:c r="H194" s="8" t="str">
        <x:v>李白对朋友说“我醉欲眠卿且去，明朝有意抱琴来”，那份熟悉真让人羡慕：来了不拘束，走了还惦记，下次见面话还能接上。今天这杯敬你们，咱们都按自己的意思来，酒随意，情谊放长，没聊完的话留给下一回。</x:v>
      </x:c>
      <x:c r="I194" s="8" t="str">
        <x:v>To friendships where we can feel at ease, come and go freely, and always pick up the conversation again.</x:v>
      </x:c>
      <x:c r="J194" s="8" t="str">
        <x:v>敬自在的交情，来去随心，再见还能接着聊。</x:v>
      </x:c>
      <x:c r="K194" s="8" t="str">
        <x:v>poem-li-mountain</x:v>
      </x:c>
      <x:c r="L194" s="8" t="str">
        <x:v>李白《山中与幽人对酌》</x:v>
      </x:c>
      <x:c r="M194" s="8" t="str">
        <x:v>我醉欲眠卿且去，明朝有意抱琴来。</x:v>
      </x:c>
      <x:c r="N194" s="8" t="str">
        <x:v>原诗写朋友间不拘礼数的自在；只借明日再来的亲近，不以喝醉或困倦作为程序判断。</x:v>
      </x:c>
      <x:c r="O194" s="8" t="str">
        <x:v>好友知己、邀饮待客</x:v>
      </x:c>
      <x:c r="P194" s="8" t="str">
        <x:v>未限定</x:v>
      </x:c>
      <x:c r="Q194" s="8" t="str">
        <x:v>未限定</x:v>
      </x:c>
      <x:c r="R194" s="8" t="str">
        <x:v>引句后整理</x:v>
      </x:c>
      <x:c r="S194" s="8" t="str">
        <x:v>雅致</x:v>
      </x:c>
      <x:c r="T194" s="8" t="str">
        <x:v>我以茶代酒，心意一样。</x:v>
      </x:c>
      <x:c r="U194" s="8" t="str">
        <x:v>With tea in my cup and the same warm wishes.</x:v>
      </x:c>
      <x:c r="V194" s="8" t="str">
        <x:v>“我醉欲眠卿且去，明朝有意抱琴来。”老朋友的好，就在不用时时客气。今天随意，往后常来；话没聊完，下回接着聊。</x:v>
      </x:c>
      <x:c r="W194" s="8" t="str">
        <x:v>李白对朋友说“我醉欲眠卿且去，明朝有意抱琴来”，那份熟悉真让人羡慕：来了不拘束，走了还惦记，下次见面话还能接上。今天这杯敬你们，咱们都按自己的意思来，酒随意，情谊放长，没聊完的话留给下一回。</x:v>
      </x:c>
      <x:c r="X194" s="8" t="str">
        <x:v>spoken</x:v>
      </x:c>
      <x:c r="Y194" s="8" t="str">
        <x:v>verse</x:v>
      </x:c>
      <x:c r="Z194" s="8" t="str"/>
      <x:c r="AA194" s="12" t="str"/>
    </x:row>
    <x:row r="195" ht="57" customHeight="1">
      <x:c r="A195" s="9" t="str">
        <x:v>verse-meng-ninth</x:v>
      </x:c>
      <x:c r="B195" s="11" t="n">
        <x:v>1</x:v>
      </x:c>
      <x:c r="C195" s="9" t="str">
        <x:v>当前推荐</x:v>
      </x:c>
      <x:c r="D195" s="9" t="str">
        <x:v>朋友小聚</x:v>
      </x:c>
      <x:c r="E195" s="9" t="str">
        <x:v>全桌</x:v>
      </x:c>
      <x:c r="F195" s="9" t="str">
        <x:v>重阳有约，朋友常来</x:v>
      </x:c>
      <x:c r="G195" s="9" t="str">
        <x:v>“何当载酒来，共醉重阳节。”今天重阳，借这句敬老朋友：杯里随意，心里常念，愿这样的相聚，往后还常有。</x:v>
      </x:c>
      <x:c r="H195" s="9" t="str">
        <x:v>“何当载酒来，共醉重阳节。”孟浩然的心思，说到底就是盼朋友来。今天重阳，能同桌就很高兴；不比谁喝得多，只盼往后见面的时候多。敬你们，愿各自安稳，来往长久，下一次相聚也早点有着落。</x:v>
      </x:c>
      <x:c r="I195" s="9" t="str">
        <x:v>On the Double Ninth Festival, here’s to old friends, good health, and making time to meet again.</x:v>
      </x:c>
      <x:c r="J195" s="9" t="str">
        <x:v>重阳敬老友，愿平安健康，也愿往后多相聚。</x:v>
      </x:c>
      <x:c r="K195" s="9" t="str">
        <x:v>poem-meng-ninth</x:v>
      </x:c>
      <x:c r="L195" s="9" t="str">
        <x:v>孟浩然《秋登兰山寄张五》</x:v>
      </x:c>
      <x:c r="M195" s="9" t="str">
        <x:v>何当载酒来，共醉重阳节。</x:v>
      </x:c>
      <x:c r="N195" s="9" t="str">
        <x:v>原诗盼友人来同过重阳；取相约重聚，不把共醉转为必须喝醉。</x:v>
      </x:c>
      <x:c r="O195" s="9" t="str">
        <x:v>邀饮待客、好友知己、团圆相聚</x:v>
      </x:c>
      <x:c r="P195" s="9" t="str">
        <x:v>未限定</x:v>
      </x:c>
      <x:c r="Q195" s="9" t="str">
        <x:v>重阳</x:v>
      </x:c>
      <x:c r="R195" s="9" t="str">
        <x:v>引句后整理</x:v>
      </x:c>
      <x:c r="S195" s="9" t="str">
        <x:v>雅致</x:v>
      </x:c>
      <x:c r="T195" s="9" t="str">
        <x:v>我以茶代酒，心意一样。</x:v>
      </x:c>
      <x:c r="U195" s="9" t="str">
        <x:v>With tea in my cup and the same warm wishes.</x:v>
      </x:c>
      <x:c r="V195" s="9" t="str">
        <x:v>“何当载酒来，共醉重阳节。”今天重阳，借这句敬老朋友：杯里随意，心里常念，愿这样的相聚，往后还常有。</x:v>
      </x:c>
      <x:c r="W195" s="9" t="str">
        <x:v>“何当载酒来，共醉重阳节。”孟浩然的心思，说到底就是盼朋友来。今天重阳，能同桌就很高兴；不比谁喝得多，只盼往后见面的时候多。敬你们，愿各自安稳，来往长久，下一次相聚也早点有着落。</x:v>
      </x:c>
      <x:c r="X195" s="9" t="str">
        <x:v>spoken</x:v>
      </x:c>
      <x:c r="Y195" s="9" t="str">
        <x:v>verse</x:v>
      </x:c>
      <x:c r="Z195" s="9" t="str"/>
      <x:c r="AA195" s="12" t="str"/>
    </x:row>
    <x:row r="196" ht="57" customHeight="1">
      <x:c r="A196" s="8" t="str">
        <x:v>verse-su-cupmoon</x:v>
      </x:c>
      <x:c r="B196" s="10" t="n">
        <x:v>1</x:v>
      </x:c>
      <x:c r="C196" s="8" t="str">
        <x:v>当前推荐</x:v>
      </x:c>
      <x:c r="D196" s="8" t="str">
        <x:v>朋友小聚</x:v>
      </x:c>
      <x:c r="E196" s="8" t="str">
        <x:v>全桌</x:v>
      </x:c>
      <x:c r="F196" s="8" t="str">
        <x:v>杯中不只酒，还有好光景</x:v>
      </x:c>
      <x:c r="G196" s="8" t="str">
        <x:v>“山城薄酒不堪饮，劝君且吸杯中月。”今天也借一份杯中月：酒随各位的意，情谊照咱们的心。来，敬这一桌好光景。</x:v>
      </x:c>
      <x:c r="H196" s="8" t="str">
        <x:v>苏轼请客，连月光都能斟进杯里：“山城薄酒不堪饮，劝君且吸杯中月。”今天咱们也不论酒有多贵，能坐在一起，把近况说给懂的人听，就是好光景。来，敬你们，愿日子有奔头，身边有老友。</x:v>
      </x:c>
      <x:c r="I196" s="8" t="str">
        <x:v>To the company that makes a simple gathering special, and to friends who know how to listen.</x:v>
      </x:c>
      <x:c r="J196" s="8" t="str">
        <x:v>敬让平常相聚变得珍贵的人，也敬愿意倾听的朋友。</x:v>
      </x:c>
      <x:c r="K196" s="8" t="str">
        <x:v>poem-su-cupmoon</x:v>
      </x:c>
      <x:c r="L196" s="8" t="str">
        <x:v>苏轼《月夜与客饮酒杏花下》</x:v>
      </x:c>
      <x:c r="M196" s="8" t="str">
        <x:v>山城薄酒不堪饮，劝君且吸杯中月。</x:v>
      </x:c>
      <x:c r="N196" s="8" t="str">
        <x:v>“劝君”在这里借诗意邀请，不要求饮尽。 原诗把月光写进酒杯，以想象增添雅兴；不是评价今天酒差，也不要求客人饮尽。</x:v>
      </x:c>
      <x:c r="O196" s="8" t="str">
        <x:v>月色入杯、邀饮待客、夜晚小酌</x:v>
      </x:c>
      <x:c r="P196" s="8" t="str">
        <x:v>未限定</x:v>
      </x:c>
      <x:c r="Q196" s="8" t="str">
        <x:v>未限定</x:v>
      </x:c>
      <x:c r="R196" s="8" t="str">
        <x:v>引句后整理</x:v>
      </x:c>
      <x:c r="S196" s="8" t="str">
        <x:v>雅致</x:v>
      </x:c>
      <x:c r="T196" s="8" t="str">
        <x:v>我以茶代酒，心意一样。</x:v>
      </x:c>
      <x:c r="U196" s="8" t="str">
        <x:v>With tea in my cup and the same warm wishes.</x:v>
      </x:c>
      <x:c r="V196" s="8" t="str">
        <x:v>“山城薄酒不堪饮，劝君且吸杯中月。”今天也借一份杯中月：酒随各位的意，情谊照咱们的心。来，敬这一桌好光景。</x:v>
      </x:c>
      <x:c r="W196" s="8" t="str">
        <x:v>苏轼请客，连月光都能斟进杯里：“山城薄酒不堪饮，劝君且吸杯中月。”今天咱们也不论酒有多贵，能坐在一起，把近况说给懂的人听，就是好光景。来，敬你们，愿日子有奔头，身边有老友。</x:v>
      </x:c>
      <x:c r="X196" s="8" t="str">
        <x:v>spoken</x:v>
      </x:c>
      <x:c r="Y196" s="8" t="str">
        <x:v>verse</x:v>
      </x:c>
      <x:c r="Z196" s="8" t="str"/>
      <x:c r="AA196" s="12" t="str"/>
    </x:row>
    <x:row r="197" ht="57" customHeight="1">
      <x:c r="A197" s="9" t="str">
        <x:v>verse-tao-friend</x:v>
      </x:c>
      <x:c r="B197" s="11" t="n">
        <x:v>1</x:v>
      </x:c>
      <x:c r="C197" s="9" t="str">
        <x:v>当前推荐</x:v>
      </x:c>
      <x:c r="D197" s="9" t="str">
        <x:v>朋友小聚</x:v>
      </x:c>
      <x:c r="E197" s="9" t="str">
        <x:v>全桌</x:v>
      </x:c>
      <x:c r="F197" s="9" t="str">
        <x:v>懂你的兴致，也肯陪你坐坐</x:v>
      </x:c>
      <x:c r="G197" s="9" t="str">
        <x:v>“故人赏我趣，挈壶相与至。”难得的朋友，是懂你的兴致，也肯陪你坐坐。今天敬你们，愿各自的日子过好，也常能一起说笑。</x:v>
      </x:c>
      <x:c r="H197" s="9" t="str">
        <x:v>“故人赏我趣，挈壶相与至。”陶渊明这句，说的不是带来多少酒，是朋友懂得自己的趣味。今天能和你们坐一桌，也是这样高兴。这杯敬咱们的情谊，愿忙的时候有底气，闲的时候有兴致，想说话时，总有人听得懂。</x:v>
      </x:c>
      <x:c r="I197" s="9" t="str">
        <x:v>To friends who understand what matters to us and gladly make time to share it.</x:v>
      </x:c>
      <x:c r="J197" s="9" t="str">
        <x:v>敬懂得彼此趣味，也愿意留时间相陪的朋友。</x:v>
      </x:c>
      <x:c r="K197" s="9" t="str">
        <x:v>poem-tao-friend</x:v>
      </x:c>
      <x:c r="L197" s="9" t="str">
        <x:v>陶渊明《饮酒二十首·其十四》</x:v>
      </x:c>
      <x:c r="M197" s="9" t="str">
        <x:v>故人赏我趣，挈壶相与至。</x:v>
      </x:c>
      <x:c r="N197" s="9" t="str">
        <x:v>原诗朋友携酒而至，看重相投之趣；后文涉及醉后失序，这里只借懂得彼此的情谊。</x:v>
      </x:c>
      <x:c r="O197" s="9" t="str">
        <x:v>好友知己、邀饮待客</x:v>
      </x:c>
      <x:c r="P197" s="9" t="str">
        <x:v>未限定</x:v>
      </x:c>
      <x:c r="Q197" s="9" t="str">
        <x:v>未限定</x:v>
      </x:c>
      <x:c r="R197" s="9" t="str">
        <x:v>引句后整理</x:v>
      </x:c>
      <x:c r="S197" s="9" t="str">
        <x:v>雅致</x:v>
      </x:c>
      <x:c r="T197" s="9" t="str">
        <x:v>我以茶代酒，心意一样。</x:v>
      </x:c>
      <x:c r="U197" s="9" t="str">
        <x:v>With tea in my cup and the same warm wishes.</x:v>
      </x:c>
      <x:c r="V197" s="9" t="str">
        <x:v>“故人赏我趣，挈壶相与至。”难得的朋友，是懂你的兴致，也肯陪你坐坐。今天敬你们，愿各自的日子过好，也常能一起说笑。</x:v>
      </x:c>
      <x:c r="W197" s="9" t="str">
        <x:v>“故人赏我趣，挈壶相与至。”陶渊明这句，说的不是带来多少酒，是朋友懂得自己的趣味。今天能和你们坐一桌，也是这样高兴。这杯敬咱们的情谊，愿忙的时候有底气，闲的时候有兴致，想说话时，总有人听得懂。</x:v>
      </x:c>
      <x:c r="X197" s="9" t="str">
        <x:v>spoken</x:v>
      </x:c>
      <x:c r="Y197" s="9" t="str">
        <x:v>verse</x:v>
      </x:c>
      <x:c r="Z197" s="9" t="str"/>
      <x:c r="AA197" s="12" t="str"/>
    </x:row>
    <x:row r="198" ht="57" customHeight="1">
      <x:c r="A198" s="8" t="str">
        <x:v>verse-tao-neighbor</x:v>
      </x:c>
      <x:c r="B198" s="10" t="n">
        <x:v>1</x:v>
      </x:c>
      <x:c r="C198" s="8" t="str">
        <x:v>当前推荐</x:v>
      </x:c>
      <x:c r="D198" s="8" t="str">
        <x:v>朋友小聚</x:v>
      </x:c>
      <x:c r="E198" s="8" t="str">
        <x:v>全桌</x:v>
      </x:c>
      <x:c r="F198" s="8" t="str">
        <x:v>有空招呼一声，就能相聚</x:v>
      </x:c>
      <x:c r="G198" s="8" t="str">
        <x:v>“过门更相呼，有酒斟酌之。”好的交情，就是有空招呼一声，就能坐下来聊聊。今天这杯敬你们，愿来往自然，情谊长久。</x:v>
      </x:c>
      <x:c r="H198" s="8" t="str">
        <x:v>陶渊明的朋友往来很可爱：“过门更相呼，有酒斟酌之。”各自忙时不打扰，闲下来愿意走动走动。今天咱们也借这份自在碰个杯，愿往后的日子，忙有所得，闲有所伴；不必每次都有大事，想见了就能约一顿饭。</x:v>
      </x:c>
      <x:c r="I198" s="8" t="str">
        <x:v>To friendships that fit naturally into everyday life: room for our own work, and time to meet when we can.</x:v>
      </x:c>
      <x:c r="J198" s="8" t="str">
        <x:v>愿朋友来往自然，各有自己的忙碌，也有相聚的空闲。</x:v>
      </x:c>
      <x:c r="K198" s="8" t="str">
        <x:v>poem-tao-neighbor</x:v>
      </x:c>
      <x:c r="L198" s="8" t="str">
        <x:v>陶渊明《移居二首·其二》</x:v>
      </x:c>
      <x:c r="M198" s="8" t="str">
        <x:v>过门更相呼，有酒斟酌之。</x:v>
      </x:c>
      <x:c r="N198" s="8" t="str">
        <x:v>原诗邻里农忙各归、闲暇相聚；取自然往来，不要求随时来访或有酒必饮。</x:v>
      </x:c>
      <x:c r="O198" s="8" t="str">
        <x:v>邀饮待客、好友知己、团圆相聚</x:v>
      </x:c>
      <x:c r="P198" s="8" t="str">
        <x:v>未限定</x:v>
      </x:c>
      <x:c r="Q198" s="8" t="str">
        <x:v>未限定</x:v>
      </x:c>
      <x:c r="R198" s="8" t="str">
        <x:v>引句后整理</x:v>
      </x:c>
      <x:c r="S198" s="8" t="str">
        <x:v>雅致</x:v>
      </x:c>
      <x:c r="T198" s="8" t="str">
        <x:v>我以茶代酒，心意一样。</x:v>
      </x:c>
      <x:c r="U198" s="8" t="str">
        <x:v>With tea in my cup and the same warm wishes.</x:v>
      </x:c>
      <x:c r="V198" s="8" t="str">
        <x:v>“过门更相呼，有酒斟酌之。”好的交情，就是有空招呼一声，就能坐下来聊聊。今天这杯敬你们，愿来往自然，情谊长久。</x:v>
      </x:c>
      <x:c r="W198" s="8" t="str">
        <x:v>陶渊明的朋友往来很可爱：“过门更相呼，有酒斟酌之。”各自忙时不打扰，闲下来愿意走动走动。今天咱们也借这份自在碰个杯，愿往后的日子，忙有所得，闲有所伴；不必每次都有大事，想见了就能约一顿饭。</x:v>
      </x:c>
      <x:c r="X198" s="8" t="str">
        <x:v>spoken</x:v>
      </x:c>
      <x:c r="Y198" s="8" t="str">
        <x:v>verse</x:v>
      </x:c>
      <x:c r="Z198" s="8" t="str"/>
      <x:c r="AA198" s="12" t="str"/>
    </x:row>
    <x:row r="199" ht="57" customHeight="1">
      <x:c r="A199" s="9" t="str">
        <x:v>verse-wei-reunion</x:v>
      </x:c>
      <x:c r="B199" s="11" t="n">
        <x:v>1</x:v>
      </x:c>
      <x:c r="C199" s="9" t="str">
        <x:v>当前推荐</x:v>
      </x:c>
      <x:c r="D199" s="9" t="str">
        <x:v>朋友小聚</x:v>
      </x:c>
      <x:c r="E199" s="9" t="str">
        <x:v>全桌</x:v>
      </x:c>
      <x:c r="F199" s="9" t="str">
        <x:v>见了面，笑声还熟悉</x:v>
      </x:c>
      <x:c r="G199" s="9" t="str">
        <x:v>韦应物说“欢笑情如旧”。朋友的好，就在各自忙了一阵，见了面笑声还熟悉。这杯敬你们，愿好日子有分享，好朋友常见面。</x:v>
      </x:c>
      <x:c r="H199" s="9" t="str">
        <x:v>“欢笑情如旧”韦应物这五个字，把老朋友重逢的高兴说得真好。平时各有各的忙，坐回一桌，话又接上了，笑声也还是熟悉的。今天敬你们，愿大家把日子过好，也给相聚多留一点时间。</x:v>
      </x:c>
      <x:c r="I199" s="9" t="str">
        <x:v>To the familiar laughter that returns as soon as old friends sit down together. May we meet more often.</x:v>
      </x:c>
      <x:c r="J199" s="9" t="str">
        <x:v>敬一见面就熟悉的笑声，也愿朋友常聚。</x:v>
      </x:c>
      <x:c r="K199" s="9" t="str">
        <x:v>poem-wei-reunion</x:v>
      </x:c>
      <x:c r="L199" s="9" t="str">
        <x:v>韦应物《淮上喜会梁川故人》</x:v>
      </x:c>
      <x:c r="M199" s="9" t="str">
        <x:v>欢笑情如旧</x:v>
      </x:c>
      <x:c r="N199" s="9" t="str">
        <x:v>原诗重逢有岁月与鬓斑之感；只引欢笑如旧，不替大家设定年岁或十年未见。</x:v>
      </x:c>
      <x:c r="O199" s="9" t="str">
        <x:v>好友知己、团圆相聚</x:v>
      </x:c>
      <x:c r="P199" s="9" t="str">
        <x:v>未限定</x:v>
      </x:c>
      <x:c r="Q199" s="9" t="str">
        <x:v>未限定</x:v>
      </x:c>
      <x:c r="R199" s="9" t="str">
        <x:v>引句后整理</x:v>
      </x:c>
      <x:c r="S199" s="9" t="str">
        <x:v>雅致</x:v>
      </x:c>
      <x:c r="T199" s="9" t="str">
        <x:v>我以茶代酒，心意一样。</x:v>
      </x:c>
      <x:c r="U199" s="9" t="str">
        <x:v>With tea in my cup and the same warm wishes.</x:v>
      </x:c>
      <x:c r="V199" s="9" t="str">
        <x:v>韦应物说“欢笑情如旧”。朋友的好，就在各自忙了一阵，见了面笑声还熟悉。这杯敬你们，愿好日子有分享，好朋友常见面。</x:v>
      </x:c>
      <x:c r="W199" s="9" t="str">
        <x:v>“欢笑情如旧”韦应物这五个字，把老朋友重逢的高兴说得真好。平时各有各的忙，坐回一桌，话又接上了，笑声也还是熟悉的。今天敬你们，愿大家把日子过好，也给相聚多留一点时间。</x:v>
      </x:c>
      <x:c r="X199" s="9" t="str">
        <x:v>spoken</x:v>
      </x:c>
      <x:c r="Y199" s="9" t="str">
        <x:v>verse</x:v>
      </x:c>
      <x:c r="Z199" s="9" t="str"/>
      <x:c r="AA199" s="12" t="str"/>
    </x:row>
    <x:row r="200" ht="57" customHeight="1">
      <x:c r="A200" s="8" t="str">
        <x:v>culture-rescue-01</x:v>
      </x:c>
      <x:c r="B200" s="10" t="n">
        <x:v>1</x:v>
      </x:c>
      <x:c r="C200" s="8" t="str">
        <x:v>当前推荐</x:v>
      </x:c>
      <x:c r="D200" s="8" t="str">
        <x:v>临场救急</x:v>
      </x:c>
      <x:c r="E200" s="8" t="str">
        <x:v>全桌</x:v>
      </x:c>
      <x:c r="F200" s="8" t="str">
        <x:v>饺子倒不出，心意说得出</x:v>
      </x:c>
      <x:c r="G200" s="8" t="str">
        <x:v>突然让我说两句，有点“茶壶里煮饺子——有货倒不出”。先把心意说出来：祝大家饭吃得香，事办得顺，有空咱们常来往！</x:v>
      </x:c>
      <x:c r="H200" s="8" t="str">
        <x:v>突然让我说两句，我这会儿有点“茶壶里煮饺子——有货倒不出”。好在心意不用打草稿：这杯敬大家，祝各位饭吃得香，事办得顺，平常的日子也常有好消息。话慢慢学，往后咱们多来往。</x:v>
      </x:c>
      <x:c r="I200" s="8" t="str">
        <x:v>I’m a little lost for words, but the good wishes are clear: good meals, good news, and more time together!</x:v>
      </x:c>
      <x:c r="J200" s="8" t="str">
        <x:v>临时有点词穷，祝福却很清楚：吃得好，好消息多，也常能相聚。</x:v>
      </x:c>
      <x:c r="K200" s="8" t="str">
        <x:v>folkDumplings</x:v>
      </x:c>
      <x:c r="L200" s="8" t="str">
        <x:v>茶壶里煮饺子——有货倒不出</x:v>
      </x:c>
      <x:c r="M200" s="8" t="str">
        <x:v>茶壶里煮饺子——有货倒不出</x:v>
      </x:c>
      <x:c r="N200" s="8" t="str">
        <x:v>只用于自嘲救急，轻松场合可选；不拿他人开玩笑。</x:v>
      </x:c>
      <x:c r="O200" s="8" t="str">
        <x:v>未限定</x:v>
      </x:c>
      <x:c r="P200" s="8" t="str">
        <x:v>未限定</x:v>
      </x:c>
      <x:c r="Q200" s="8" t="str">
        <x:v>未限定</x:v>
      </x:c>
      <x:c r="R200" s="8" t="str">
        <x:v>依据表达方法整理</x:v>
      </x:c>
      <x:c r="S200" s="8" t="str">
        <x:v>诙谐</x:v>
      </x:c>
      <x:c r="T200" s="8" t="str">
        <x:v>今天以茶代酒，心意一样真。</x:v>
      </x:c>
      <x:c r="U200" s="8" t="str">
        <x:v>With tea in my cup and the same warm wishes.</x:v>
      </x:c>
      <x:c r="V200" s="8" t="str">
        <x:v>突然让我说两句，有点“茶壶里煮饺子——有货倒不出”。先把心意说出来：祝大家饭吃得香，事办得顺，有空咱们常来往！</x:v>
      </x:c>
      <x:c r="W200" s="8" t="str">
        <x:v>突然让我说两句，我这会儿有点“茶壶里煮饺子——有货倒不出”。好在心意不用打草稿：这杯敬大家，祝各位饭吃得香，事办得顺，平常的日子也常有好消息。话慢慢学，往后咱们多来往。</x:v>
      </x:c>
      <x:c r="X200" s="8" t="str">
        <x:v>spoken</x:v>
      </x:c>
      <x:c r="Y200" s="8" t="str">
        <x:v>fun</x:v>
      </x:c>
      <x:c r="Z200" s="8" t="str"/>
      <x:c r="AA200" s="12" t="str"/>
    </x:row>
    <x:row r="201" ht="42" customHeight="1">
      <x:c r="A201" s="9" t="str">
        <x:v>culture-table-01</x:v>
      </x:c>
      <x:c r="B201" s="11" t="n">
        <x:v>1</x:v>
      </x:c>
      <x:c r="C201" s="9" t="str">
        <x:v>当前推荐</x:v>
      </x:c>
      <x:c r="D201" s="9" t="str">
        <x:v>临场救急</x:v>
      </x:c>
      <x:c r="E201" s="9" t="str">
        <x:v>全桌</x:v>
      </x:c>
      <x:c r="F201" s="9" t="str">
        <x:v>一席欢笑，来日再邀</x:v>
      </x:c>
      <x:c r="G201" s="9" t="str">
        <x:v>一席相逢，满桌欢笑。这杯敬大家：愿各位心头少烦恼，日子越过越好；有空咱们再相邀。</x:v>
      </x:c>
      <x:c r="H201" s="9" t="str">
        <x:v>一席相逢，满桌欢笑。今天能坐到一桌，就是值得高兴的事。借这一杯，敬在座各位：愿忙时有收获，闲时有说笑；心头少烦恼，日子越过越好。有空咱们再相邀。</x:v>
      </x:c>
      <x:c r="I201" s="9" t="str">
        <x:v>To a table full of conversation and laughter, happier days, and another chance to meet.</x:v>
      </x:c>
      <x:c r="J201" s="9" t="str">
        <x:v>敬同桌的交谈与欢笑，愿日子更好，也盼再次相聚。</x:v>
      </x:c>
      <x:c r="K201" s="9" t="str">
        <x:v>rhythm</x:v>
      </x:c>
      <x:c r="L201" s="9" t="str">
        <x:v>把话写给耳朵听</x:v>
      </x:c>
      <x:c r="M201" s="9" t="str"/>
      <x:c r="N201" s="9" t="str">
        <x:v>原创顺口稿；“笑／恼／好／邀”按普通话口语韵脚处理，不称古诗。</x:v>
      </x:c>
      <x:c r="O201" s="9" t="str">
        <x:v>未限定</x:v>
      </x:c>
      <x:c r="P201" s="9" t="str">
        <x:v>未限定</x:v>
      </x:c>
      <x:c r="Q201" s="9" t="str">
        <x:v>未限定</x:v>
      </x:c>
      <x:c r="R201" s="9" t="str">
        <x:v>依据表达方法整理</x:v>
      </x:c>
      <x:c r="S201" s="9" t="str">
        <x:v>雅致</x:v>
      </x:c>
      <x:c r="T201" s="9" t="str">
        <x:v>今天以茶代酒，心意一样真。</x:v>
      </x:c>
      <x:c r="U201" s="9" t="str">
        <x:v>With tea in my cup and the same warm wishes.</x:v>
      </x:c>
      <x:c r="V201" s="9" t="str">
        <x:v>一席相逢，满桌欢笑。这杯敬大家：愿各位心头少烦恼，日子越过越好；有空咱们再相邀。</x:v>
      </x:c>
      <x:c r="W201" s="9" t="str">
        <x:v>一席相逢，满桌欢笑。今天能坐到一桌，就是值得高兴的事。借这一杯，敬在座各位：愿忙时有收获，闲时有说笑；心头少烦恼，日子越过越好。有空咱们再相邀。</x:v>
      </x:c>
      <x:c r="X201" s="9" t="str">
        <x:v>spoken</x:v>
      </x:c>
      <x:c r="Y201" s="9" t="str">
        <x:v>rhymed</x:v>
      </x:c>
      <x:c r="Z201" s="9" t="str"/>
      <x:c r="AA201" s="12" t="str"/>
    </x:row>
    <x:row r="202" ht="57" customHeight="1">
      <x:c r="A202" s="8" t="str">
        <x:v>general-01</x:v>
      </x:c>
      <x:c r="B202" s="10" t="n">
        <x:v>1</x:v>
      </x:c>
      <x:c r="C202" s="8" t="str">
        <x:v>当前推荐</x:v>
      </x:c>
      <x:c r="D202" s="8" t="str">
        <x:v>临场救急</x:v>
      </x:c>
      <x:c r="E202" s="8" t="str">
        <x:v>全桌</x:v>
      </x:c>
      <x:c r="F202" s="8" t="str">
        <x:v>相逢有幸</x:v>
      </x:c>
      <x:c r="G202" s="8" t="str">
        <x:v>相逢有幸，同席有缘；愿此刻有欢，来日有盼。
借这一杯，敬大家。</x:v>
      </x:c>
      <x:c r="H202" s="8" t="str">
        <x:v>一席相聚，是忙碌日子里难得的留白。借这一杯，敬今日相逢，也祝来日顺遂。愿大家心中有暖，脚下有路；行有所获，归有所安。
借这一杯，敬大家。</x:v>
      </x:c>
      <x:c r="I202" s="8" t="str">
        <x:v>To the pleasure of meeting, and to good things ahead.</x:v>
      </x:c>
      <x:c r="J202" s="8" t="str">
        <x:v>敬相聚的欢喜，也祝前路有美好。</x:v>
      </x:c>
      <x:c r="K202" s="8" t="str">
        <x:v>rhythm</x:v>
      </x:c>
      <x:c r="L202" s="8" t="str">
        <x:v>把话写给耳朵听</x:v>
      </x:c>
      <x:c r="M202" s="8" t="str"/>
      <x:c r="N202" s="8" t="str">
        <x:v>停顿放在“心中有暖／脚下有路”之间。</x:v>
      </x:c>
      <x:c r="O202" s="8" t="str">
        <x:v>未限定</x:v>
      </x:c>
      <x:c r="P202" s="8" t="str">
        <x:v>未限定</x:v>
      </x:c>
      <x:c r="Q202" s="8" t="str">
        <x:v>未限定</x:v>
      </x:c>
      <x:c r="R202" s="8" t="str">
        <x:v>依据表达方法整理</x:v>
      </x:c>
      <x:c r="S202" s="8" t="str">
        <x:v>雅致</x:v>
      </x:c>
      <x:c r="T202" s="8" t="str"/>
      <x:c r="U202" s="8" t="str"/>
      <x:c r="V202" s="8" t="str">
        <x:v>相逢有幸，同席有缘；愿此刻有欢，来日有盼。</x:v>
      </x:c>
      <x:c r="W202" s="8" t="str">
        <x:v>一席相聚，是忙碌日子里难得的留白。借这一杯，敬今日相逢，也祝来日顺遂。愿大家心中有暖，脚下有路；行有所获，归有所安。</x:v>
      </x:c>
      <x:c r="X202" s="8" t="str"/>
      <x:c r="Y202" s="8" t="str"/>
      <x:c r="Z202" s="8" t="str"/>
      <x:c r="AA202" s="12" t="str"/>
    </x:row>
    <x:row r="203" ht="57" customHeight="1">
      <x:c r="A203" s="9" t="str">
        <x:v>general-02</x:v>
      </x:c>
      <x:c r="B203" s="11" t="n">
        <x:v>1</x:v>
      </x:c>
      <x:c r="C203" s="9" t="str">
        <x:v>当前推荐</x:v>
      </x:c>
      <x:c r="D203" s="9" t="str">
        <x:v>临场救急</x:v>
      </x:c>
      <x:c r="E203" s="9" t="str">
        <x:v>全桌</x:v>
      </x:c>
      <x:c r="F203" s="9" t="str">
        <x:v>杯中见心意</x:v>
      </x:c>
      <x:c r="G203" s="9" t="str">
        <x:v>杯中有深浅，心意无轻重；愿大家所行皆坦荡，所遇多温良。
借这一杯，敬大家。</x:v>
      </x:c>
      <x:c r="H203" s="9" t="str">
        <x:v>杯中有深浅，心意无轻重。今天与大家同席，借这一杯送一份祝愿：愿忙碌有所成，闲暇有所乐；眼前有相聚，往后有好音。
借这一杯，敬大家。</x:v>
      </x:c>
      <x:c r="I203" s="9" t="str">
        <x:v>May our work be rewarding and our time together joyful.</x:v>
      </x:c>
      <x:c r="J203" s="9" t="str">
        <x:v>愿忙碌有收获，相聚有欢喜。</x:v>
      </x:c>
      <x:c r="K203" s="9" t="str">
        <x:v>rhythm</x:v>
      </x:c>
      <x:c r="L203" s="9" t="str">
        <x:v>把话写给耳朵听</x:v>
      </x:c>
      <x:c r="M203" s="9" t="str"/>
      <x:c r="N203" s="9" t="str">
        <x:v>不必加快，两个“有所”读出同样的节奏。</x:v>
      </x:c>
      <x:c r="O203" s="9" t="str">
        <x:v>未限定</x:v>
      </x:c>
      <x:c r="P203" s="9" t="str">
        <x:v>未限定</x:v>
      </x:c>
      <x:c r="Q203" s="9" t="str">
        <x:v>未限定</x:v>
      </x:c>
      <x:c r="R203" s="9" t="str">
        <x:v>依据表达方法整理</x:v>
      </x:c>
      <x:c r="S203" s="9" t="str">
        <x:v>雅致</x:v>
      </x:c>
      <x:c r="T203" s="9" t="str"/>
      <x:c r="U203" s="9" t="str"/>
      <x:c r="V203" s="9" t="str">
        <x:v>杯中有深浅，心意无轻重；愿大家所行皆坦荡，所遇多温良。</x:v>
      </x:c>
      <x:c r="W203" s="9" t="str">
        <x:v>杯中有深浅，心意无轻重。今天与大家同席，借这一杯送一份祝愿：愿忙碌有所成，闲暇有所乐；眼前有相聚，往后有好音。</x:v>
      </x:c>
      <x:c r="X203" s="9" t="str"/>
      <x:c r="Y203" s="9" t="str"/>
      <x:c r="Z203" s="9" t="str"/>
      <x:c r="AA203" s="12" t="str"/>
    </x:row>
    <x:row r="204" ht="57" customHeight="1">
      <x:c r="A204" s="8" t="str">
        <x:v>general-03</x:v>
      </x:c>
      <x:c r="B204" s="10" t="n">
        <x:v>1</x:v>
      </x:c>
      <x:c r="C204" s="8" t="str">
        <x:v>当前推荐</x:v>
      </x:c>
      <x:c r="D204" s="8" t="str">
        <x:v>临场救急</x:v>
      </x:c>
      <x:c r="E204" s="8" t="str">
        <x:v>全桌</x:v>
      </x:c>
      <x:c r="F204" s="8" t="str">
        <x:v>话短情长</x:v>
      </x:c>
      <x:c r="G204" s="8" t="str">
        <x:v>我的话可以短，祝福一定长：愿大家日日有喜，岁岁有光。
借这一杯，敬大家。</x:v>
      </x:c>
      <x:c r="H204" s="8" t="str">
        <x:v>突然轮到我，先把长篇大论留给下回。今天话说短一点，心意放长一点：愿大家忙得有收获，闲得有滋味；好事常登门，好朋友常见面。
借这一杯，敬大家。</x:v>
      </x:c>
      <x:c r="I204" s="8" t="str">
        <x:v>A short toast, but a lasting wish: good days and good company.</x:v>
      </x:c>
      <x:c r="J204" s="8" t="str">
        <x:v>话虽短，祝愿长：愿日子好，身边有人相伴。</x:v>
      </x:c>
      <x:c r="K204" s="8" t="str">
        <x:v>rhythm</x:v>
      </x:c>
      <x:c r="L204" s="8" t="str">
        <x:v>把话写给耳朵听</x:v>
      </x:c>
      <x:c r="M204" s="8" t="str"/>
      <x:c r="N204" s="8" t="str">
        <x:v>开头可以笑着说，停一下再接祝福。</x:v>
      </x:c>
      <x:c r="O204" s="8" t="str">
        <x:v>未限定</x:v>
      </x:c>
      <x:c r="P204" s="8" t="str">
        <x:v>未限定</x:v>
      </x:c>
      <x:c r="Q204" s="8" t="str">
        <x:v>未限定</x:v>
      </x:c>
      <x:c r="R204" s="8" t="str">
        <x:v>依据表达方法整理</x:v>
      </x:c>
      <x:c r="S204" s="8" t="str">
        <x:v>诙谐</x:v>
      </x:c>
      <x:c r="T204" s="8" t="str"/>
      <x:c r="U204" s="8" t="str"/>
      <x:c r="V204" s="8" t="str">
        <x:v>我的话可以短，祝福一定长：愿大家日日有喜，岁岁有光。</x:v>
      </x:c>
      <x:c r="W204" s="8" t="str">
        <x:v>突然轮到我，先把长篇大论留给下回。今天话说短一点，心意放长一点：愿大家忙得有收获，闲得有滋味；好事常登门，好朋友常见面。</x:v>
      </x:c>
      <x:c r="X204" s="8" t="str"/>
      <x:c r="Y204" s="8" t="str"/>
      <x:c r="Z204" s="8" t="str"/>
      <x:c r="AA204" s="12" t="str"/>
    </x:row>
    <x:row r="205" ht="57" customHeight="1">
      <x:c r="A205" s="9" t="str">
        <x:v>general-verse-01</x:v>
      </x:c>
      <x:c r="B205" s="11" t="n">
        <x:v>1</x:v>
      </x:c>
      <x:c r="C205" s="9" t="str">
        <x:v>当前推荐</x:v>
      </x:c>
      <x:c r="D205" s="9" t="str">
        <x:v>临场救急</x:v>
      </x:c>
      <x:c r="E205" s="9" t="str">
        <x:v>全桌</x:v>
      </x:c>
      <x:c r="F205" s="9" t="str">
        <x:v>一觞一咏，畅叙心意</x:v>
      </x:c>
      <x:c r="G205" s="9" t="str">
        <x:v>古人一觞一咏，畅叙幽情；愿今日同席有欢，来日往来有情。
借这一杯，敬大家。</x:v>
      </x:c>
      <x:c r="H205" s="9" t="str">
        <x:v>古人说“一觞一咏，亦足以畅叙幽情”。相聚的好，不只在杯中，也在能坐下来，好好说几句话。今天敬大家：愿忙碌有所得，相处有温度；此刻尽欢，往后顺遂。
借这一杯，敬大家。</x:v>
      </x:c>
      <x:c r="I205" s="9" t="str">
        <x:v>To good conversation, thoughtful company, and a warm memory of this gathering.</x:v>
      </x:c>
      <x:c r="J205" s="9" t="str">
        <x:v>敬好交谈、好相伴，也愿这次相聚留下温暖的记忆。</x:v>
      </x:c>
      <x:c r="K205" s="9" t="str">
        <x:v>lanting</x:v>
      </x:c>
      <x:c r="L205" s="9" t="str">
        <x:v>王羲之《兰亭集序》</x:v>
      </x:c>
      <x:c r="M205" s="9" t="str">
        <x:v>一觞一咏，亦足以畅叙幽情。</x:v>
      </x:c>
      <x:c r="N205" s="9" t="str">
        <x:v>觞读shāng；说完引句稍停，再接自己的祝愿。</x:v>
      </x:c>
      <x:c r="O205" s="9" t="str">
        <x:v>未限定</x:v>
      </x:c>
      <x:c r="P205" s="9" t="str">
        <x:v>未限定</x:v>
      </x:c>
      <x:c r="Q205" s="9" t="str">
        <x:v>未限定</x:v>
      </x:c>
      <x:c r="R205" s="9" t="str">
        <x:v>引句后整理</x:v>
      </x:c>
      <x:c r="S205" s="9" t="str">
        <x:v>雅致</x:v>
      </x:c>
      <x:c r="T205" s="9" t="str"/>
      <x:c r="U205" s="9" t="str"/>
      <x:c r="V205" s="9" t="str">
        <x:v>古人一觞一咏，畅叙幽情；愿今日同席有欢，来日往来有情。</x:v>
      </x:c>
      <x:c r="W205" s="9" t="str">
        <x:v>古人说“一觞一咏，亦足以畅叙幽情”。相聚的好，不只在杯中，也在能坐下来，好好说几句话。今天敬大家：愿忙碌有所得，相处有温度；此刻尽欢，往后顺遂。</x:v>
      </x:c>
      <x:c r="X205" s="9" t="str"/>
      <x:c r="Y205" s="9" t="str"/>
      <x:c r="Z205" s="9" t="str"/>
      <x:c r="AA205" s="12" t="str"/>
    </x:row>
    <x:row r="206" ht="57" customHeight="1">
      <x:c r="A206" s="8" t="str">
        <x:v>r04-ci-02-1</x:v>
      </x:c>
      <x:c r="B206" s="10" t="n">
        <x:v>1</x:v>
      </x:c>
      <x:c r="C206" s="8" t="str">
        <x:v>当前推荐</x:v>
      </x:c>
      <x:c r="D206" s="8" t="str">
        <x:v>临场救急</x:v>
      </x:c>
      <x:c r="E206" s="8" t="str">
        <x:v>全桌</x:v>
      </x:c>
      <x:c r="F206" s="8" t="str">
        <x:v>热闹里也有清静</x:v>
      </x:c>
      <x:c r="G206" s="8" t="str">
        <x:v>借张先的一句：“中庭月色正清明，无数杨花过无影。”这两句很轻，像提醒人慢下来。今天也借这一杯，愿大家忙过以后，有安静坐一坐的闲，有安心聊一聊的人。</x:v>
      </x:c>
      <x:c r="H206" s="8" t="str">
        <x:v>借张先的一句：“中庭月色正清明，无数杨花过无影。”这两句很轻，像提醒人慢下来。今天也借这一杯，愿大家忙过以后，有安静坐一坐的闲，有安心聊一聊的人。
这杯敬同桌各位，愿忙里有欢喜，日常有回音。</x:v>
      </x:c>
      <x:c r="I206" s="8" t="str">
        <x:v>To calm moments after busy days and someone to enjoy them with.</x:v>
      </x:c>
      <x:c r="J206" s="8" t="str">
        <x:v>愿忙后有安静片刻，也有人同享。</x:v>
      </x:c>
      <x:c r="K206" s="8" t="str">
        <x:v>r04-ci-02</x:v>
      </x:c>
      <x:c r="L206" s="8" t="str">
        <x:v>张先《木兰花·乙卯吴兴寒食》</x:v>
      </x:c>
      <x:c r="M206" s="8" t="str">
        <x:v>中庭月色正清明，无数杨花过无影。</x:v>
      </x:c>
      <x:c r="N206" s="8" t="str">
        <x:v>寒食游春由繁华转入夜静；借诗意，不称现场有月或杨花。</x:v>
      </x:c>
      <x:c r="O206" s="8" t="str">
        <x:v>随席取意、月色入杯、夜晚小酌</x:v>
      </x:c>
      <x:c r="P206" s="8" t="str">
        <x:v>未限定</x:v>
      </x:c>
      <x:c r="Q206" s="8" t="str">
        <x:v>未限定</x:v>
      </x:c>
      <x:c r="R206" s="8" t="str">
        <x:v>引句后整理</x:v>
      </x:c>
      <x:c r="S206" s="8" t="str">
        <x:v>雅致</x:v>
      </x:c>
      <x:c r="T206" s="8" t="str">
        <x:v>我以茶代酒，心意一样真。</x:v>
      </x:c>
      <x:c r="U206" s="8" t="str">
        <x:v>With tea in my cup and the same warm wishes.</x:v>
      </x:c>
      <x:c r="V206" s="8" t="str">
        <x:v>借张先的一句：“中庭月色正清明，无数杨花过无影。”这两句很轻，像提醒人慢下来。今天也借这一杯，愿大家忙过以后，有安静坐一坐的闲，有安心聊一聊的人。</x:v>
      </x:c>
      <x:c r="W206" s="8" t="str">
        <x:v>借张先的一句：“中庭月色正清明，无数杨花过无影。”这两句很轻，像提醒人慢下来。今天也借这一杯，愿大家忙过以后，有安静坐一坐的闲，有安心聊一聊的人。
这杯敬同桌各位，愿忙里有欢喜，日常有回音。</x:v>
      </x:c>
      <x:c r="X206" s="8" t="str">
        <x:v>spoken</x:v>
      </x:c>
      <x:c r="Y206" s="8" t="str">
        <x:v>verse-1</x:v>
      </x:c>
      <x:c r="Z206" s="8" t="str"/>
      <x:c r="AA206" s="12" t="str"/>
    </x:row>
    <x:row r="207" ht="72" customHeight="1">
      <x:c r="A207" s="9" t="str">
        <x:v>r04-ci-04-2</x:v>
      </x:c>
      <x:c r="B207" s="11" t="n">
        <x:v>1</x:v>
      </x:c>
      <x:c r="C207" s="9" t="str">
        <x:v>当前推荐</x:v>
      </x:c>
      <x:c r="D207" s="9" t="str">
        <x:v>临场救急</x:v>
      </x:c>
      <x:c r="E207" s="9" t="str">
        <x:v>全桌</x:v>
      </x:c>
      <x:c r="F207" s="9" t="str">
        <x:v>终于坐到一桌 · 再说一句</x:v>
      </x:c>
      <x:c r="G207" s="9" t="str">
        <x:v>平时一句“有空聚”，今天终于有了下文。敬这次相见，愿以后想约的时候，大家总能匀出一点时间。借诗词中的一句：“今宵剩把银釭照，犹恐相逢是梦中。”</x:v>
      </x:c>
      <x:c r="H207" s="9" t="str">
        <x:v>平时一句“有空聚”，今天终于有了下文。敬这次相见，愿以后想约的时候，大家总能匀出一点时间。
晏几道在《鹧鸪天·彩袖殷勤捧玉钟》里写道：“今宵剩把银釭照，犹恐相逢是梦中。”这杯敬同桌各位，愿忙里有欢喜，日常有回音。</x:v>
      </x:c>
      <x:c r="I207" s="9" t="str">
        <x:v>To the rare joy of a reunion that finally feels real. Here is to another good day together.</x:v>
      </x:c>
      <x:c r="J207" s="9" t="str">
        <x:v>敬终于成真的重逢，难得而欢喜。也盼再有同聚的好日子。</x:v>
      </x:c>
      <x:c r="K207" s="9" t="str">
        <x:v>r04-ci-04</x:v>
      </x:c>
      <x:c r="L207" s="9" t="str">
        <x:v>晏几道《鹧鸪天·彩袖殷勤捧玉钟》</x:v>
      </x:c>
      <x:c r="M207" s="9" t="str">
        <x:v>今宵剩把银釭照，犹恐相逢是梦中。</x:v>
      </x:c>
      <x:c r="N207" s="9" t="str">
        <x:v>追忆歌舞、久别重逢，喜中含悲；银釭为灯，此处借真实相见的珍惜。</x:v>
      </x:c>
      <x:c r="O207" s="9" t="str">
        <x:v>随席取意</x:v>
      </x:c>
      <x:c r="P207" s="9" t="str">
        <x:v>未限定</x:v>
      </x:c>
      <x:c r="Q207" s="9" t="str">
        <x:v>未限定</x:v>
      </x:c>
      <x:c r="R207" s="9" t="str">
        <x:v>引句后整理</x:v>
      </x:c>
      <x:c r="S207" s="9" t="str">
        <x:v>雅致</x:v>
      </x:c>
      <x:c r="T207" s="9" t="str">
        <x:v>我以茶代酒，心意一样真。</x:v>
      </x:c>
      <x:c r="U207" s="9" t="str">
        <x:v>With tea in my cup and the same warm wishes.</x:v>
      </x:c>
      <x:c r="V207" s="9" t="str">
        <x:v>平时一句“有空聚”，今天终于有了下文。敬这次相见，愿以后想约的时候，大家总能匀出一点时间。借诗词中的一句：“今宵剩把银釭照，犹恐相逢是梦中。”</x:v>
      </x:c>
      <x:c r="W207" s="9" t="str">
        <x:v>平时一句“有空聚”，今天终于有了下文。敬这次相见，愿以后想约的时候，大家总能匀出一点时间。
晏几道在《鹧鸪天·彩袖殷勤捧玉钟》里写道：“今宵剩把银釭照，犹恐相逢是梦中。”这杯敬同桌各位，愿忙里有欢喜，日常有回音。</x:v>
      </x:c>
      <x:c r="X207" s="9" t="str">
        <x:v>spoken</x:v>
      </x:c>
      <x:c r="Y207" s="9" t="str">
        <x:v>verse-3</x:v>
      </x:c>
      <x:c r="Z207" s="9" t="str"/>
      <x:c r="AA207" s="12" t="str"/>
    </x:row>
    <x:row r="208" ht="57" customHeight="1">
      <x:c r="A208" s="8" t="str">
        <x:v>r04-ci-08-1</x:v>
      </x:c>
      <x:c r="B208" s="10" t="n">
        <x:v>1</x:v>
      </x:c>
      <x:c r="C208" s="8" t="str">
        <x:v>当前推荐</x:v>
      </x:c>
      <x:c r="D208" s="8" t="str">
        <x:v>临场救急</x:v>
      </x:c>
      <x:c r="E208" s="8" t="str">
        <x:v>全桌</x:v>
      </x:c>
      <x:c r="F208" s="8" t="str">
        <x:v>把人放进好光景</x:v>
      </x:c>
      <x:c r="G208" s="8" t="str">
        <x:v>借苏轼的一句：“明月如霜，照见人如画。”好光景里，最让人记得的还是人。今天这杯敬同桌各位，愿以后说起这一晚，先想起大家的笑。</x:v>
      </x:c>
      <x:c r="H208" s="8" t="str">
        <x:v>借苏轼的一句：“明月如霜，照见人如画。”好光景里，最让人记得的还是人。今天这杯敬同桌各位，愿以后说起这一晚，先想起大家的笑。
这杯敬同桌各位，愿忙里有欢喜，日常有回音。</x:v>
      </x:c>
      <x:c r="I208" s="8" t="str">
        <x:v>To the people whose laughter will be our best memory of tonight.</x:v>
      </x:c>
      <x:c r="J208" s="8" t="str">
        <x:v>敬让今晚因笑声而难忘的人。</x:v>
      </x:c>
      <x:c r="K208" s="8" t="str">
        <x:v>r04-ci-08</x:v>
      </x:c>
      <x:c r="L208" s="8" t="str">
        <x:v>苏轼《蝶恋花·密州上元》</x:v>
      </x:c>
      <x:c r="M208" s="8" t="str">
        <x:v>明月如霜，照见人如画。</x:v>
      </x:c>
      <x:c r="N208" s="8" t="str">
        <x:v>比较钱塘与密州元宵，明丽中有寂寞；借相聚，不称现场月如霜。</x:v>
      </x:c>
      <x:c r="O208" s="8" t="str">
        <x:v>随席取意、月色入杯、夜晚小酌</x:v>
      </x:c>
      <x:c r="P208" s="8" t="str">
        <x:v>未限定</x:v>
      </x:c>
      <x:c r="Q208" s="8" t="str">
        <x:v>未限定</x:v>
      </x:c>
      <x:c r="R208" s="8" t="str">
        <x:v>引句后整理</x:v>
      </x:c>
      <x:c r="S208" s="8" t="str">
        <x:v>雅致</x:v>
      </x:c>
      <x:c r="T208" s="8" t="str">
        <x:v>我以茶代酒，心意一样真。</x:v>
      </x:c>
      <x:c r="U208" s="8" t="str">
        <x:v>With tea in my cup and the same warm wishes.</x:v>
      </x:c>
      <x:c r="V208" s="8" t="str">
        <x:v>借苏轼的一句：“明月如霜，照见人如画。”好光景里，最让人记得的还是人。今天这杯敬同桌各位，愿以后说起这一晚，先想起大家的笑。</x:v>
      </x:c>
      <x:c r="W208" s="8" t="str">
        <x:v>借苏轼的一句：“明月如霜，照见人如画。”好光景里，最让人记得的还是人。今天这杯敬同桌各位，愿以后说起这一晚，先想起大家的笑。
这杯敬同桌各位，愿忙里有欢喜，日常有回音。</x:v>
      </x:c>
      <x:c r="X208" s="8" t="str">
        <x:v>spoken</x:v>
      </x:c>
      <x:c r="Y208" s="8" t="str">
        <x:v>verse-3</x:v>
      </x:c>
      <x:c r="Z208" s="8" t="str"/>
      <x:c r="AA208" s="12" t="str"/>
    </x:row>
    <x:row r="209" ht="72" customHeight="1">
      <x:c r="A209" s="9" t="str">
        <x:v>r04-ci-10-1</x:v>
      </x:c>
      <x:c r="B209" s="11" t="n">
        <x:v>1</x:v>
      </x:c>
      <x:c r="C209" s="9" t="str">
        <x:v>当前推荐</x:v>
      </x:c>
      <x:c r="D209" s="9" t="str">
        <x:v>临场救急</x:v>
      </x:c>
      <x:c r="E209" s="9" t="str">
        <x:v>全桌</x:v>
      </x:c>
      <x:c r="F209" s="9" t="str">
        <x:v>日子有生机</x:v>
      </x:c>
      <x:c r="G209" s="9" t="str">
        <x:v>苏轼在《浣溪沙·软草平莎过雨新》里写道：“日暖桑麻光似泼，风来蒿艾气如薰。”这两句写草木的生气，我借来祝大家：日子不必天天轰轰烈烈，有事可做、有饭可盼，也有空赏一眼好景。</x:v>
      </x:c>
      <x:c r="H209" s="9" t="str">
        <x:v>苏轼在《浣溪沙·软草平莎过雨新》里写道：“日暖桑麻光似泼，风来蒿艾气如薰。”这两句写草木的生气，我借来祝大家：日子不必天天轰轰烈烈，有事可做、有饭可盼，也有空赏一眼好景。
这杯敬同桌各位，愿忙里有欢喜，日常有回音。</x:v>
      </x:c>
      <x:c r="I209" s="9" t="str">
        <x:v>To noticing small signs of life and making room to enjoy them.</x:v>
      </x:c>
      <x:c r="J209" s="9" t="str">
        <x:v>愿看见日常的生机，也有空慢慢欣赏。</x:v>
      </x:c>
      <x:c r="K209" s="9" t="str">
        <x:v>r04-ci-10</x:v>
      </x:c>
      <x:c r="L209" s="9" t="str">
        <x:v>苏轼《浣溪沙·软草平莎过雨新》</x:v>
      </x:c>
      <x:c r="M209" s="9" t="str">
        <x:v>日暖桑麻光似泼，风来蒿艾气如薰。</x:v>
      </x:c>
      <x:c r="N209" s="9" t="str">
        <x:v>乡村田园与归耕之念；借日常生机，不称所在地点为田庄。</x:v>
      </x:c>
      <x:c r="O209" s="9" t="str">
        <x:v>随席取意</x:v>
      </x:c>
      <x:c r="P209" s="9" t="str">
        <x:v>未限定</x:v>
      </x:c>
      <x:c r="Q209" s="9" t="str">
        <x:v>未限定</x:v>
      </x:c>
      <x:c r="R209" s="9" t="str">
        <x:v>引句后整理</x:v>
      </x:c>
      <x:c r="S209" s="9" t="str">
        <x:v>雅致</x:v>
      </x:c>
      <x:c r="T209" s="9" t="str">
        <x:v>我以茶代酒，心意一样真。</x:v>
      </x:c>
      <x:c r="U209" s="9" t="str">
        <x:v>With tea in my cup and the same warm wishes.</x:v>
      </x:c>
      <x:c r="V209" s="9" t="str">
        <x:v>苏轼在《浣溪沙·软草平莎过雨新》里写道：“日暖桑麻光似泼，风来蒿艾气如薰。”这两句写草木的生气，我借来祝大家：日子不必天天轰轰烈烈，有事可做、有饭可盼，也有空赏一眼好景。</x:v>
      </x:c>
      <x:c r="W209" s="9" t="str">
        <x:v>苏轼在《浣溪沙·软草平莎过雨新》里写道：“日暖桑麻光似泼，风来蒿艾气如薰。”这两句写草木的生气，我借来祝大家：日子不必天天轰轰烈烈，有事可做、有饭可盼，也有空赏一眼好景。
这杯敬同桌各位，愿忙里有欢喜，日常有回音。</x:v>
      </x:c>
      <x:c r="X209" s="9" t="str">
        <x:v>spoken</x:v>
      </x:c>
      <x:c r="Y209" s="9" t="str">
        <x:v>verse-1</x:v>
      </x:c>
      <x:c r="Z209" s="9" t="str"/>
      <x:c r="AA209" s="12" t="str"/>
    </x:row>
    <x:row r="210" ht="72" customHeight="1">
      <x:c r="A210" s="8" t="str">
        <x:v>r04-ci-16-1</x:v>
      </x:c>
      <x:c r="B210" s="10" t="n">
        <x:v>1</x:v>
      </x:c>
      <x:c r="C210" s="8" t="str">
        <x:v>当前推荐</x:v>
      </x:c>
      <x:c r="D210" s="8" t="str">
        <x:v>临场救急</x:v>
      </x:c>
      <x:c r="E210" s="8" t="str">
        <x:v>全桌</x:v>
      </x:c>
      <x:c r="F210" s="8" t="str">
        <x:v>心里留一处清凉</x:v>
      </x:c>
      <x:c r="G210" s="8" t="str">
        <x:v>周邦彦在《苏幕遮·燎沉香》里写道：“水面清圆，一一风荷举。”读到这样的荷叶，心里都清凉一点。今天借它敬大家，愿忙时不乱，闲时有趣，生活里总有一点可亲的好光景。</x:v>
      </x:c>
      <x:c r="H210" s="8" t="str">
        <x:v>周邦彦在《苏幕遮·燎沉香》里写道：“水面清圆，一一风荷举。”读到这样的荷叶，心里都清凉一点。今天借它敬大家，愿忙时不乱，闲时有趣，生活里总有一点可亲的好光景。
这杯敬同桌各位，愿忙里有欢喜，日常有回音。</x:v>
      </x:c>
      <x:c r="I210" s="8" t="str">
        <x:v>To a little peace, a little beauty, and friends we remember across the miles.</x:v>
      </x:c>
      <x:c r="J210" s="8" t="str">
        <x:v>愿有清静、有好景，也有远方惦记的朋友。</x:v>
      </x:c>
      <x:c r="K210" s="8" t="str">
        <x:v>r04-ci-16</x:v>
      </x:c>
      <x:c r="L210" s="8" t="str">
        <x:v>周邦彦《苏幕遮·燎沉香》</x:v>
      </x:c>
      <x:c r="M210" s="8" t="str">
        <x:v>水面清圆，一一风荷举。</x:v>
      </x:c>
      <x:c r="N210" s="8" t="str">
        <x:v>夏荷与思乡，故乡友伴之念；借意象不造今天有荷塘。</x:v>
      </x:c>
      <x:c r="O210" s="8" t="str">
        <x:v>随席取意</x:v>
      </x:c>
      <x:c r="P210" s="8" t="str">
        <x:v>未限定</x:v>
      </x:c>
      <x:c r="Q210" s="8" t="str">
        <x:v>未限定</x:v>
      </x:c>
      <x:c r="R210" s="8" t="str">
        <x:v>引句后整理</x:v>
      </x:c>
      <x:c r="S210" s="8" t="str">
        <x:v>雅致</x:v>
      </x:c>
      <x:c r="T210" s="8" t="str">
        <x:v>我以茶代酒，心意一样真。</x:v>
      </x:c>
      <x:c r="U210" s="8" t="str">
        <x:v>With tea in my cup and the same warm wishes.</x:v>
      </x:c>
      <x:c r="V210" s="8" t="str">
        <x:v>周邦彦在《苏幕遮·燎沉香》里写道：“水面清圆，一一风荷举。”读到这样的荷叶，心里都清凉一点。今天借它敬大家，愿忙时不乱，闲时有趣，生活里总有一点可亲的好光景。</x:v>
      </x:c>
      <x:c r="W210" s="8" t="str">
        <x:v>周邦彦在《苏幕遮·燎沉香》里写道：“水面清圆，一一风荷举。”读到这样的荷叶，心里都清凉一点。今天借它敬大家，愿忙时不乱，闲时有趣，生活里总有一点可亲的好光景。
这杯敬同桌各位，愿忙里有欢喜，日常有回音。</x:v>
      </x:c>
      <x:c r="X210" s="8" t="str">
        <x:v>spoken</x:v>
      </x:c>
      <x:c r="Y210" s="8" t="str">
        <x:v>verse-3</x:v>
      </x:c>
      <x:c r="Z210" s="8" t="str"/>
      <x:c r="AA210" s="12" t="str"/>
    </x:row>
    <x:row r="211" ht="57" customHeight="1">
      <x:c r="A211" s="9" t="str">
        <x:v>r04-ci-18-1</x:v>
      </x:c>
      <x:c r="B211" s="11" t="n">
        <x:v>1</x:v>
      </x:c>
      <x:c r="C211" s="9" t="str">
        <x:v>当前推荐</x:v>
      </x:c>
      <x:c r="D211" s="9" t="str">
        <x:v>临场救急</x:v>
      </x:c>
      <x:c r="E211" s="9" t="str">
        <x:v>全桌</x:v>
      </x:c>
      <x:c r="F211" s="9" t="str">
        <x:v>转过弯就有惊喜</x:v>
      </x:c>
      <x:c r="G211" s="9" t="str">
        <x:v>辛弃疾写过：“七八个星天外，两三点雨山前。”这阕词最后，转过桥就认出了熟悉的小店。今天借这份喜悦祝大家：平常走着走着，也能碰上值得高兴的小事。</x:v>
      </x:c>
      <x:c r="H211" s="9" t="str">
        <x:v>辛弃疾写过：“七八个星天外，两三点雨山前。”这阕词最后，转过桥就认出了熟悉的小店。今天借这份喜悦祝大家：平常走着走着，也能碰上值得高兴的小事。
这杯敬同桌各位，愿忙里有欢喜，日常有回音。</x:v>
      </x:c>
      <x:c r="I211" s="9" t="str">
        <x:v>To small surprises that brighten a familiar road.</x:v>
      </x:c>
      <x:c r="J211" s="9" t="str">
        <x:v>愿熟悉的路上，也有小惊喜。</x:v>
      </x:c>
      <x:c r="K211" s="9" t="str">
        <x:v>r04-ci-18</x:v>
      </x:c>
      <x:c r="L211" s="9" t="str">
        <x:v>辛弃疾《西江月·夜行黄沙道中》</x:v>
      </x:c>
      <x:c r="M211" s="9" t="str">
        <x:v>七八个星天外，两三点雨山前。</x:v>
      </x:c>
      <x:c r="N211" s="9" t="str">
        <x:v>夜行乡间，路转忽见熟悉茅店；取寻常惊喜，不预报现场星雨或实际丰收。</x:v>
      </x:c>
      <x:c r="O211" s="9" t="str">
        <x:v>随席取意、月色入杯、夜晚小酌</x:v>
      </x:c>
      <x:c r="P211" s="9" t="str">
        <x:v>未限定</x:v>
      </x:c>
      <x:c r="Q211" s="9" t="str">
        <x:v>未限定</x:v>
      </x:c>
      <x:c r="R211" s="9" t="str">
        <x:v>引句后整理</x:v>
      </x:c>
      <x:c r="S211" s="9" t="str">
        <x:v>雅致</x:v>
      </x:c>
      <x:c r="T211" s="9" t="str">
        <x:v>我以茶代酒，心意一样真。</x:v>
      </x:c>
      <x:c r="U211" s="9" t="str">
        <x:v>With tea in my cup and the same warm wishes.</x:v>
      </x:c>
      <x:c r="V211" s="9" t="str">
        <x:v>辛弃疾写过：“七八个星天外，两三点雨山前。”这阕词最后，转过桥就认出了熟悉的小店。今天借这份喜悦祝大家：平常走着走着，也能碰上值得高兴的小事。</x:v>
      </x:c>
      <x:c r="W211" s="9" t="str">
        <x:v>辛弃疾写过：“七八个星天外，两三点雨山前。”这阕词最后，转过桥就认出了熟悉的小店。今天借这份喜悦祝大家：平常走着走着，也能碰上值得高兴的小事。
这杯敬同桌各位，愿忙里有欢喜，日常有回音。</x:v>
      </x:c>
      <x:c r="X211" s="9" t="str">
        <x:v>spoken</x:v>
      </x:c>
      <x:c r="Y211" s="9" t="str">
        <x:v>verse-1</x:v>
      </x:c>
      <x:c r="Z211" s="9" t="str"/>
      <x:c r="AA211" s="12" t="str"/>
    </x:row>
    <x:row r="212" ht="72" customHeight="1">
      <x:c r="A212" s="8" t="str">
        <x:v>r04-ci-19-2</x:v>
      </x:c>
      <x:c r="B212" s="10" t="n">
        <x:v>1</x:v>
      </x:c>
      <x:c r="C212" s="8" t="str">
        <x:v>当前推荐</x:v>
      </x:c>
      <x:c r="D212" s="8" t="str">
        <x:v>临场救急</x:v>
      </x:c>
      <x:c r="E212" s="8" t="str">
        <x:v>全桌</x:v>
      </x:c>
      <x:c r="F212" s="8" t="str">
        <x:v>给欢笑留个位置 · 再说一句</x:v>
      </x:c>
      <x:c r="G212" s="8" t="str">
        <x:v>古人的诙谐借来一点，酒量就不比了。敬大家，愿忙里有轻松，话里有笑意，回去有个好觉。借诗词中的一句：“醉里且贪欢笑，要愁那得工夫。”</x:v>
      </x:c>
      <x:c r="H212" s="8" t="str">
        <x:v>古人的诙谐借来一点，酒量就不比了。敬大家，愿忙里有轻松，话里有笑意，回去有个好觉。
辛弃疾在《西江月·遣兴》里写道：“醉里且贪欢笑，要愁那得工夫。”这杯敬同桌各位，愿忙里有欢喜，日常有回音。</x:v>
      </x:c>
      <x:c r="I212" s="8" t="str">
        <x:v>To laughter without pressure and an evening everyone can enjoy. Here is to another good day together.</x:v>
      </x:c>
      <x:c r="J212" s="8" t="str">
        <x:v>愿笑得轻松，让每个人都能尽兴。也盼再有同聚的好日子。</x:v>
      </x:c>
      <x:c r="K212" s="8" t="str">
        <x:v>r04-ci-19</x:v>
      </x:c>
      <x:c r="L212" s="8" t="str">
        <x:v>辛弃疾《西江月·遣兴》</x:v>
      </x:c>
      <x:c r="M212" s="8" t="str">
        <x:v>醉里且贪欢笑，要愁那得工夫。</x:v>
      </x:c>
      <x:c r="N212" s="8" t="str">
        <x:v>醉态拟人含自嘲；不宣扬饮醉、读书无用，也不把原作看作单纯劝乐。</x:v>
      </x:c>
      <x:c r="O212" s="8" t="str">
        <x:v>随席取意</x:v>
      </x:c>
      <x:c r="P212" s="8" t="str">
        <x:v>未限定</x:v>
      </x:c>
      <x:c r="Q212" s="8" t="str">
        <x:v>未限定</x:v>
      </x:c>
      <x:c r="R212" s="8" t="str">
        <x:v>引句后整理</x:v>
      </x:c>
      <x:c r="S212" s="8" t="str">
        <x:v>雅致</x:v>
      </x:c>
      <x:c r="T212" s="8" t="str">
        <x:v>我以茶代酒，心意一样真。</x:v>
      </x:c>
      <x:c r="U212" s="8" t="str">
        <x:v>With tea in my cup and the same warm wishes.</x:v>
      </x:c>
      <x:c r="V212" s="8" t="str">
        <x:v>古人的诙谐借来一点，酒量就不比了。敬大家，愿忙里有轻松，话里有笑意，回去有个好觉。借诗词中的一句：“醉里且贪欢笑，要愁那得工夫。”</x:v>
      </x:c>
      <x:c r="W212" s="8" t="str">
        <x:v>古人的诙谐借来一点，酒量就不比了。敬大家，愿忙里有轻松，话里有笑意，回去有个好觉。
辛弃疾在《西江月·遣兴》里写道：“醉里且贪欢笑，要愁那得工夫。”这杯敬同桌各位，愿忙里有欢喜，日常有回音。</x:v>
      </x:c>
      <x:c r="X212" s="8" t="str">
        <x:v>spoken</x:v>
      </x:c>
      <x:c r="Y212" s="8" t="str">
        <x:v>verse-2</x:v>
      </x:c>
      <x:c r="Z212" s="8" t="str"/>
      <x:c r="AA212" s="12" t="str"/>
    </x:row>
    <x:row r="213" ht="57" customHeight="1">
      <x:c r="A213" s="9" t="str">
        <x:v>r04-ci-20-1</x:v>
      </x:c>
      <x:c r="B213" s="11" t="n">
        <x:v>1</x:v>
      </x:c>
      <x:c r="C213" s="9" t="str">
        <x:v>当前推荐</x:v>
      </x:c>
      <x:c r="D213" s="9" t="str">
        <x:v>临场救急</x:v>
      </x:c>
      <x:c r="E213" s="9" t="str">
        <x:v>全桌</x:v>
      </x:c>
      <x:c r="F213" s="9" t="str">
        <x:v>好事也在寻常处</x:v>
      </x:c>
      <x:c r="G213" s="9" t="str">
        <x:v>借辛弃疾的一句：“春在溪头荠菜花。”原来春意也能藏在一朵小小的荠菜花里。今天敬大家，愿平常日子，也总能看见一点新意，尝到一点甜。</x:v>
      </x:c>
      <x:c r="H213" s="9" t="str">
        <x:v>借辛弃疾的一句：“春在溪头荠菜花。”原来春意也能藏在一朵小小的荠菜花里。今天敬大家，愿平常日子，也总能看见一点新意，尝到一点甜。
这杯敬同桌各位，愿忙里有欢喜，日常有回音。</x:v>
      </x:c>
      <x:c r="I213" s="9" t="str">
        <x:v>To finding something fresh in an ordinary day.</x:v>
      </x:c>
      <x:c r="J213" s="9" t="str">
        <x:v>愿平常日子，也能发现一点新意。</x:v>
      </x:c>
      <x:c r="K213" s="9" t="str">
        <x:v>r04-ci-20</x:v>
      </x:c>
      <x:c r="L213" s="9" t="str">
        <x:v>辛弃疾《鹧鸪天·陌上柔桑破嫩芽》</x:v>
      </x:c>
      <x:c r="M213" s="9" t="str">
        <x:v>春在溪头荠菜花。</x:v>
      </x:c>
      <x:c r="N213" s="9" t="str">
        <x:v>田园春景，荠菜花对比城中桃李；借平常的生机，不称眼下已春天。</x:v>
      </x:c>
      <x:c r="O213" s="9" t="str">
        <x:v>随席取意</x:v>
      </x:c>
      <x:c r="P213" s="9" t="str">
        <x:v>未限定</x:v>
      </x:c>
      <x:c r="Q213" s="9" t="str">
        <x:v>未限定</x:v>
      </x:c>
      <x:c r="R213" s="9" t="str">
        <x:v>引句后整理</x:v>
      </x:c>
      <x:c r="S213" s="9" t="str">
        <x:v>雅致</x:v>
      </x:c>
      <x:c r="T213" s="9" t="str">
        <x:v>我以茶代酒，心意一样真。</x:v>
      </x:c>
      <x:c r="U213" s="9" t="str">
        <x:v>With tea in my cup and the same warm wishes.</x:v>
      </x:c>
      <x:c r="V213" s="9" t="str">
        <x:v>借辛弃疾的一句：“春在溪头荠菜花。”原来春意也能藏在一朵小小的荠菜花里。今天敬大家，愿平常日子，也总能看见一点新意，尝到一点甜。</x:v>
      </x:c>
      <x:c r="W213" s="9" t="str">
        <x:v>借辛弃疾的一句：“春在溪头荠菜花。”原来春意也能藏在一朵小小的荠菜花里。今天敬大家，愿平常日子，也总能看见一点新意，尝到一点甜。
这杯敬同桌各位，愿忙里有欢喜，日常有回音。</x:v>
      </x:c>
      <x:c r="X213" s="9" t="str">
        <x:v>spoken</x:v>
      </x:c>
      <x:c r="Y213" s="9" t="str">
        <x:v>verse-3</x:v>
      </x:c>
      <x:c r="Z213" s="9" t="str"/>
      <x:c r="AA213" s="12" t="str"/>
    </x:row>
    <x:row r="214" ht="57" customHeight="1">
      <x:c r="A214" s="8" t="str">
        <x:v>r04-ci-24-1</x:v>
      </x:c>
      <x:c r="B214" s="10" t="n">
        <x:v>1</x:v>
      </x:c>
      <x:c r="C214" s="8" t="str">
        <x:v>当前推荐</x:v>
      </x:c>
      <x:c r="D214" s="8" t="str">
        <x:v>临场救急</x:v>
      </x:c>
      <x:c r="E214" s="8" t="str">
        <x:v>全桌</x:v>
      </x:c>
      <x:c r="F214" s="8" t="str">
        <x:v>给心情放一叶船</x:v>
      </x:c>
      <x:c r="G214" s="8" t="str">
        <x:v>韦庄写过：“春水碧于天，画船听雨眠。”这两句像把心情放进一叶船里。今天借一点诗里的闲意敬大家，愿忙过之后，总有片刻可以安心歇歇。</x:v>
      </x:c>
      <x:c r="H214" s="8" t="str">
        <x:v>韦庄写过：“春水碧于天，画船听雨眠。”这两句像把心情放进一叶船里。今天借一点诗里的闲意敬大家，愿忙过之后，总有片刻可以安心歇歇。
这杯敬同桌各位，愿忙里有欢喜，日常有回音。</x:v>
      </x:c>
      <x:c r="I214" s="8" t="str">
        <x:v>To a peaceful pause, made better by good company.</x:v>
      </x:c>
      <x:c r="J214" s="8" t="str">
        <x:v>愿闲下来的片刻，有人相伴更好。</x:v>
      </x:c>
      <x:c r="K214" s="8" t="str">
        <x:v>r04-ci-24</x:v>
      </x:c>
      <x:c r="L214" s="8" t="str">
        <x:v>韦庄《菩萨蛮·人人尽说江南好》</x:v>
      </x:c>
      <x:c r="M214" s="8" t="str">
        <x:v>春水碧于天，画船听雨眠。</x:v>
      </x:c>
      <x:c r="N214" s="8" t="str">
        <x:v>羁旅江南的美好中有思乡难归，不将原词整体当作无忧闲居。</x:v>
      </x:c>
      <x:c r="O214" s="8" t="str">
        <x:v>随席取意</x:v>
      </x:c>
      <x:c r="P214" s="8" t="str">
        <x:v>未限定</x:v>
      </x:c>
      <x:c r="Q214" s="8" t="str">
        <x:v>未限定</x:v>
      </x:c>
      <x:c r="R214" s="8" t="str">
        <x:v>引句后整理</x:v>
      </x:c>
      <x:c r="S214" s="8" t="str">
        <x:v>雅致</x:v>
      </x:c>
      <x:c r="T214" s="8" t="str">
        <x:v>我以茶代酒，心意一样真。</x:v>
      </x:c>
      <x:c r="U214" s="8" t="str">
        <x:v>With tea in my cup and the same warm wishes.</x:v>
      </x:c>
      <x:c r="V214" s="8" t="str">
        <x:v>韦庄写过：“春水碧于天，画船听雨眠。”这两句像把心情放进一叶船里。今天借一点诗里的闲意敬大家，愿忙过之后，总有片刻可以安心歇歇。</x:v>
      </x:c>
      <x:c r="W214" s="8" t="str">
        <x:v>韦庄写过：“春水碧于天，画船听雨眠。”这两句像把心情放进一叶船里。今天借一点诗里的闲意敬大家，愿忙过之后，总有片刻可以安心歇歇。
这杯敬同桌各位，愿忙里有欢喜，日常有回音。</x:v>
      </x:c>
      <x:c r="X214" s="8" t="str">
        <x:v>spoken</x:v>
      </x:c>
      <x:c r="Y214" s="8" t="str">
        <x:v>verse-3</x:v>
      </x:c>
      <x:c r="Z214" s="8" t="str"/>
      <x:c r="AA214" s="12" t="str"/>
    </x:row>
    <x:row r="215" ht="42" customHeight="1">
      <x:c r="A215" s="9" t="str">
        <x:v>r04-ci-26-2</x:v>
      </x:c>
      <x:c r="B215" s="11" t="n">
        <x:v>1</x:v>
      </x:c>
      <x:c r="C215" s="9" t="str">
        <x:v>当前推荐</x:v>
      </x:c>
      <x:c r="D215" s="9" t="str">
        <x:v>临场救急</x:v>
      </x:c>
      <x:c r="E215" s="9" t="str">
        <x:v>全桌</x:v>
      </x:c>
      <x:c r="F215" s="9" t="str">
        <x:v>有人结伴的欢喜 · 再说一句</x:v>
      </x:c>
      <x:c r="G215" s="9" t="str">
        <x:v>借这份结伴的欢喜敬大家。饭桌不必有多大，能有来有往地说几句话，这一晚就值得。借诗词中的一句：“带香游女偎伴笑”</x:v>
      </x:c>
      <x:c r="H215" s="9" t="str">
        <x:v>借这份结伴的欢喜敬大家。饭桌不必有多大，能有来有往地说几句话，这一晚就值得。
借李珣的一句：“带香游女偎伴笑”这杯敬同桌各位，愿忙里有欢喜，日常有回音。</x:v>
      </x:c>
      <x:c r="I215" s="9" t="str">
        <x:v>To the pleasure of doing simple things together. Here is to another good day together.</x:v>
      </x:c>
      <x:c r="J215" s="9" t="str">
        <x:v>敬有人结伴，把寻常事做得有趣。也盼再有同聚的好日子。</x:v>
      </x:c>
      <x:c r="K215" s="9" t="str">
        <x:v>r04-ci-26</x:v>
      </x:c>
      <x:c r="L215" s="9" t="str">
        <x:v>李珣《南乡子·乘彩舫》</x:v>
      </x:c>
      <x:c r="M215" s="9" t="str">
        <x:v>带香游女偎伴笑</x:v>
      </x:c>
      <x:c r="N215" s="9" t="str">
        <x:v>写女子结伴采荷游乐；借结伴的笑意，不复现诗中男女与地点。</x:v>
      </x:c>
      <x:c r="O215" s="9" t="str">
        <x:v>随席取意</x:v>
      </x:c>
      <x:c r="P215" s="9" t="str">
        <x:v>未限定</x:v>
      </x:c>
      <x:c r="Q215" s="9" t="str">
        <x:v>未限定</x:v>
      </x:c>
      <x:c r="R215" s="9" t="str">
        <x:v>引句后整理</x:v>
      </x:c>
      <x:c r="S215" s="9" t="str">
        <x:v>雅致</x:v>
      </x:c>
      <x:c r="T215" s="9" t="str">
        <x:v>我以茶代酒，心意一样真。</x:v>
      </x:c>
      <x:c r="U215" s="9" t="str">
        <x:v>With tea in my cup and the same warm wishes.</x:v>
      </x:c>
      <x:c r="V215" s="9" t="str">
        <x:v>借这份结伴的欢喜敬大家。饭桌不必有多大，能有来有往地说几句话，这一晚就值得。借诗词中的一句：“带香游女偎伴笑”</x:v>
      </x:c>
      <x:c r="W215" s="9" t="str">
        <x:v>借这份结伴的欢喜敬大家。饭桌不必有多大，能有来有往地说几句话，这一晚就值得。
借李珣的一句：“带香游女偎伴笑”这杯敬同桌各位，愿忙里有欢喜，日常有回音。</x:v>
      </x:c>
      <x:c r="X215" s="9" t="str">
        <x:v>spoken</x:v>
      </x:c>
      <x:c r="Y215" s="9" t="str">
        <x:v>verse-1</x:v>
      </x:c>
      <x:c r="Z215" s="9" t="str"/>
      <x:c r="AA215" s="12" t="str"/>
    </x:row>
    <x:row r="216" ht="72" customHeight="1">
      <x:c r="A216" s="8" t="str">
        <x:v>r04-shi-1001-2</x:v>
      </x:c>
      <x:c r="B216" s="10" t="n">
        <x:v>1</x:v>
      </x:c>
      <x:c r="C216" s="8" t="str">
        <x:v>当前推荐</x:v>
      </x:c>
      <x:c r="D216" s="8" t="str">
        <x:v>临场救急</x:v>
      </x:c>
      <x:c r="E216" s="8" t="str">
        <x:v>全桌</x:v>
      </x:c>
      <x:c r="F216" s="8" t="str">
        <x:v>把相见看重 · 再说一句</x:v>
      </x:c>
      <x:c r="G216" s="8" t="str">
        <x:v>古人把相见的欢喜写进诗里，今天咱们放进这一杯。愿这一席有好话可聊，散了以后，也留下好印象。借诗词中的一句：“鲜我觏尔，我心写兮。”</x:v>
      </x:c>
      <x:c r="H216" s="8" t="str">
        <x:v>古人把相见的欢喜写进诗里，今天咱们放进这一杯。愿这一席有好话可聊，散了以后，也留下好印象。
借《诗经》的一句：“鲜我觏尔，我心写兮。”这杯敬同桌各位，愿忙里有欢喜，日常有回音。</x:v>
      </x:c>
      <x:c r="I216" s="8" t="str">
        <x:v>To a meeting that leaves us smiling, with no need to rush what comes next. Here is to another good day together.</x:v>
      </x:c>
      <x:c r="J216" s="8" t="str">
        <x:v>愿相见有笑，也不必急着安排以后。也盼再有同聚的好日子。</x:v>
      </x:c>
      <x:c r="K216" s="8" t="str">
        <x:v>r04-shi-1001</x:v>
      </x:c>
      <x:c r="L216" s="8" t="str">
        <x:v>《诗经·车舝》</x:v>
      </x:c>
      <x:c r="M216" s="8" t="str">
        <x:v>鲜我觏尔，我心写兮。</x:v>
      </x:c>
      <x:c r="N216" s="8" t="str">
        <x:v>原为迎娶与婚姻喜悦；借相见之喜时明确不作双方关系承诺。</x:v>
      </x:c>
      <x:c r="O216" s="8" t="str">
        <x:v>随席取意</x:v>
      </x:c>
      <x:c r="P216" s="8" t="str">
        <x:v>未限定</x:v>
      </x:c>
      <x:c r="Q216" s="8" t="str">
        <x:v>未限定</x:v>
      </x:c>
      <x:c r="R216" s="8" t="str">
        <x:v>引句后整理</x:v>
      </x:c>
      <x:c r="S216" s="8" t="str">
        <x:v>雅致</x:v>
      </x:c>
      <x:c r="T216" s="8" t="str">
        <x:v>我以茶代酒，心意一样真。</x:v>
      </x:c>
      <x:c r="U216" s="8" t="str">
        <x:v>With tea in my cup and the same warm wishes.</x:v>
      </x:c>
      <x:c r="V216" s="8" t="str">
        <x:v>古人把相见的欢喜写进诗里，今天咱们放进这一杯。愿这一席有好话可聊，散了以后，也留下好印象。借诗词中的一句：“鲜我觏尔，我心写兮。”</x:v>
      </x:c>
      <x:c r="W216" s="8" t="str">
        <x:v>古人把相见的欢喜写进诗里，今天咱们放进这一杯。愿这一席有好话可聊，散了以后，也留下好印象。
借《诗经》的一句：“鲜我觏尔，我心写兮。”这杯敬同桌各位，愿忙里有欢喜，日常有回音。</x:v>
      </x:c>
      <x:c r="X216" s="8" t="str">
        <x:v>spoken</x:v>
      </x:c>
      <x:c r="Y216" s="8" t="str">
        <x:v>verse-3</x:v>
      </x:c>
      <x:c r="Z216" s="8" t="str"/>
      <x:c r="AA216" s="12" t="str"/>
    </x:row>
    <x:row r="217" ht="57" customHeight="1">
      <x:c r="A217" s="9" t="str">
        <x:v>r04-shi-357-2</x:v>
      </x:c>
      <x:c r="B217" s="11" t="n">
        <x:v>1</x:v>
      </x:c>
      <x:c r="C217" s="9" t="str">
        <x:v>当前推荐</x:v>
      </x:c>
      <x:c r="D217" s="9" t="str">
        <x:v>临场救急</x:v>
      </x:c>
      <x:c r="E217" s="9" t="str">
        <x:v>全桌</x:v>
      </x:c>
      <x:c r="F217" s="9" t="str">
        <x:v>见面就高兴 · 再说一句</x:v>
      </x:c>
      <x:c r="G217" s="9" t="str">
        <x:v>借的是相见的欢喜，不论外头什么天气。能坐在一起，先把饭吃香，再把近况慢慢讲。借诗词中的一句：“既见君子，云胡不喜？”</x:v>
      </x:c>
      <x:c r="H217" s="9" t="str">
        <x:v>借的是相见的欢喜，不论外头什么天气。能坐在一起，先把饭吃香，再把近况慢慢讲。
借《诗经》的一句：“既见君子，云胡不喜？”这杯敬同桌各位，愿忙里有欢喜，日常有回音。</x:v>
      </x:c>
      <x:c r="I217" s="9" t="str">
        <x:v>To the simple happiness of finally meeting again. Here is to another good day together.</x:v>
      </x:c>
      <x:c r="J217" s="9" t="str">
        <x:v>敬终于重逢的那份简单欢喜。也盼再有同聚的好日子。</x:v>
      </x:c>
      <x:c r="K217" s="9" t="str">
        <x:v>r04-shi-357</x:v>
      </x:c>
      <x:c r="L217" s="9" t="str">
        <x:v>《诗经·风雨》</x:v>
      </x:c>
      <x:c r="M217" s="9" t="str">
        <x:v>既见君子，云胡不喜？</x:v>
      </x:c>
      <x:c r="N217" s="9" t="str">
        <x:v>原为久别相见的喜悦，今借重逢；不声称现场有风雨或彼此有夫妻关系。</x:v>
      </x:c>
      <x:c r="O217" s="9" t="str">
        <x:v>随席取意</x:v>
      </x:c>
      <x:c r="P217" s="9" t="str">
        <x:v>未限定</x:v>
      </x:c>
      <x:c r="Q217" s="9" t="str">
        <x:v>未限定</x:v>
      </x:c>
      <x:c r="R217" s="9" t="str">
        <x:v>引句后整理</x:v>
      </x:c>
      <x:c r="S217" s="9" t="str">
        <x:v>雅致</x:v>
      </x:c>
      <x:c r="T217" s="9" t="str">
        <x:v>我以茶代酒，心意一样真。</x:v>
      </x:c>
      <x:c r="U217" s="9" t="str">
        <x:v>With tea in my cup and the same warm wishes.</x:v>
      </x:c>
      <x:c r="V217" s="9" t="str">
        <x:v>借的是相见的欢喜，不论外头什么天气。能坐在一起，先把饭吃香，再把近况慢慢讲。借诗词中的一句：“既见君子，云胡不喜？”</x:v>
      </x:c>
      <x:c r="W217" s="9" t="str">
        <x:v>借的是相见的欢喜，不论外头什么天气。能坐在一起，先把饭吃香，再把近况慢慢讲。
借《诗经》的一句：“既见君子，云胡不喜？”这杯敬同桌各位，愿忙里有欢喜，日常有回音。</x:v>
      </x:c>
      <x:c r="X217" s="9" t="str">
        <x:v>spoken</x:v>
      </x:c>
      <x:c r="Y217" s="9" t="str">
        <x:v>verse-1</x:v>
      </x:c>
      <x:c r="Z217" s="9" t="str"/>
      <x:c r="AA217" s="12" t="str"/>
    </x:row>
    <x:row r="218" ht="72" customHeight="1">
      <x:c r="A218" s="8" t="str">
        <x:v>r04-shi-687-2</x:v>
      </x:c>
      <x:c r="B218" s="10" t="n">
        <x:v>1</x:v>
      </x:c>
      <x:c r="C218" s="8" t="str">
        <x:v>当前推荐</x:v>
      </x:c>
      <x:c r="D218" s="8" t="str">
        <x:v>临场救急</x:v>
      </x:c>
      <x:c r="E218" s="8" t="str">
        <x:v>全桌</x:v>
      </x:c>
      <x:c r="F218" s="8" t="str">
        <x:v>有客才有热闹 · 再说一句</x:v>
      </x:c>
      <x:c r="G218" s="8" t="str">
        <x:v>这杯先敬同桌的人。难得有空，不妨少看两眼消息，多听两句近况，把这顿饭吃得有来有往。借诗词中的一句：“君子有酒，嘉宾式燕以乐。”</x:v>
      </x:c>
      <x:c r="H218" s="8" t="str">
        <x:v>这杯先敬同桌的人。难得有空，不妨少看两眼消息，多听两句近况，把这顿饭吃得有来有往。
《诗经·南有嘉鱼》写道：“君子有酒，嘉宾式燕以乐。”这杯敬同桌各位，愿忙里有欢喜，日常有回音。</x:v>
      </x:c>
      <x:c r="I218" s="8" t="str">
        <x:v>To guests who turn an ordinary meal into a happy gathering. Here is to another good day together.</x:v>
      </x:c>
      <x:c r="J218" s="8" t="str">
        <x:v>敬把家常饭变成好相聚的客人。也盼再有同聚的好日子。</x:v>
      </x:c>
      <x:c r="K218" s="8" t="str">
        <x:v>r04-shi-687</x:v>
      </x:c>
      <x:c r="L218" s="8" t="str">
        <x:v>《诗经·南有嘉鱼》</x:v>
      </x:c>
      <x:c r="M218" s="8" t="str">
        <x:v>君子有酒，嘉宾式燕以乐。</x:v>
      </x:c>
      <x:c r="N218" s="8" t="str">
        <x:v>宾主宴饮相乐；仅借相聚之乐，不要求客人饮酒。</x:v>
      </x:c>
      <x:c r="O218" s="8" t="str">
        <x:v>随席取意</x:v>
      </x:c>
      <x:c r="P218" s="8" t="str">
        <x:v>未限定</x:v>
      </x:c>
      <x:c r="Q218" s="8" t="str">
        <x:v>未限定</x:v>
      </x:c>
      <x:c r="R218" s="8" t="str">
        <x:v>引句后整理</x:v>
      </x:c>
      <x:c r="S218" s="8" t="str">
        <x:v>雅致</x:v>
      </x:c>
      <x:c r="T218" s="8" t="str">
        <x:v>我以茶代酒，心意一样真。</x:v>
      </x:c>
      <x:c r="U218" s="8" t="str">
        <x:v>With tea in my cup and the same warm wishes.</x:v>
      </x:c>
      <x:c r="V218" s="8" t="str">
        <x:v>这杯先敬同桌的人。难得有空，不妨少看两眼消息，多听两句近况，把这顿饭吃得有来有往。借诗词中的一句：“君子有酒，嘉宾式燕以乐。”</x:v>
      </x:c>
      <x:c r="W218" s="8" t="str">
        <x:v>这杯先敬同桌的人。难得有空，不妨少看两眼消息，多听两句近况，把这顿饭吃得有来有往。
《诗经·南有嘉鱼》写道：“君子有酒，嘉宾式燕以乐。”这杯敬同桌各位，愿忙里有欢喜，日常有回音。</x:v>
      </x:c>
      <x:c r="X218" s="8" t="str">
        <x:v>spoken</x:v>
      </x:c>
      <x:c r="Y218" s="8" t="str">
        <x:v>verse-1</x:v>
      </x:c>
      <x:c r="Z218" s="8" t="str"/>
      <x:c r="AA218" s="12" t="str"/>
    </x:row>
    <x:row r="219" ht="57" customHeight="1">
      <x:c r="A219" s="9" t="str">
        <x:v>r04-story-08-1</x:v>
      </x:c>
      <x:c r="B219" s="11" t="n">
        <x:v>1</x:v>
      </x:c>
      <x:c r="C219" s="9" t="str">
        <x:v>当前推荐</x:v>
      </x:c>
      <x:c r="D219" s="9" t="str">
        <x:v>临场救急</x:v>
      </x:c>
      <x:c r="E219" s="9" t="str">
        <x:v>全桌</x:v>
      </x:c>
      <x:c r="F219" s="9" t="str">
        <x:v>给日常添一点诗意</x:v>
      </x:c>
      <x:c r="G219" s="9" t="str">
        <x:v>《世说新语》里记载：“未若柳絮因风起。”同一场雪，古人能看出不同的趣味。今天不论聊什么，愿大家都有一点好奇，听见别人的新想法，也添一点自己的好心情。</x:v>
      </x:c>
      <x:c r="H219" s="9" t="str">
        <x:v>《世说新语》里记载：“未若柳絮因风起。”同一场雪，古人能看出不同的趣味。今天不论聊什么，愿大家都有一点好奇，听见别人的新想法，也添一点自己的好心情。
这杯敬同桌各位，愿忙里有欢喜，日常有回音。</x:v>
      </x:c>
      <x:c r="I219" s="9" t="str">
        <x:v>To imagination that adds a little delight to daily life.</x:v>
      </x:c>
      <x:c r="J219" s="9" t="str">
        <x:v>愿想象为日常添一点乐趣。</x:v>
      </x:c>
      <x:c r="K219" s="9" t="str">
        <x:v>r04-story-08</x:v>
      </x:c>
      <x:c r="L219" s="9" t="str">
        <x:v>《世说新语·言语第七十一则》谢道韫咏雪</x:v>
      </x:c>
      <x:c r="M219" s="9" t="str">
        <x:v>未若柳絮因风起。</x:v>
      </x:c>
      <x:c r="N219" s="9" t="str">
        <x:v>雪日家庭论文比喻，不推断今天下雪；姓名异说与诗意高下另议，不拿他人作陪衬。</x:v>
      </x:c>
      <x:c r="O219" s="9" t="str">
        <x:v>随席取意</x:v>
      </x:c>
      <x:c r="P219" s="9" t="str">
        <x:v>未限定</x:v>
      </x:c>
      <x:c r="Q219" s="9" t="str">
        <x:v>未限定</x:v>
      </x:c>
      <x:c r="R219" s="9" t="str">
        <x:v>引句后整理</x:v>
      </x:c>
      <x:c r="S219" s="9" t="str">
        <x:v>雅致</x:v>
      </x:c>
      <x:c r="T219" s="9" t="str">
        <x:v>我以茶代酒，心意一样真。</x:v>
      </x:c>
      <x:c r="U219" s="9" t="str">
        <x:v>With tea in my cup and the same warm wishes.</x:v>
      </x:c>
      <x:c r="V219" s="9" t="str">
        <x:v>《世说新语》里记载：“未若柳絮因风起。”同一场雪，古人能看出不同的趣味。今天不论聊什么，愿大家都有一点好奇，听见别人的新想法，也添一点自己的好心情。</x:v>
      </x:c>
      <x:c r="W219" s="9" t="str">
        <x:v>《世说新语》里记载：“未若柳絮因风起。”同一场雪，古人能看出不同的趣味。今天不论聊什么，愿大家都有一点好奇，听见别人的新想法，也添一点自己的好心情。
这杯敬同桌各位，愿忙里有欢喜，日常有回音。</x:v>
      </x:c>
      <x:c r="X219" s="9" t="str">
        <x:v>spoken</x:v>
      </x:c>
      <x:c r="Y219" s="9" t="str">
        <x:v>story-3</x:v>
      </x:c>
      <x:c r="Z219" s="9" t="str"/>
      <x:c r="AA219" s="12" t="str"/>
    </x:row>
    <x:row r="220" ht="57" customHeight="1">
      <x:c r="A220" s="8" t="str">
        <x:v>r04-story-09-1</x:v>
      </x:c>
      <x:c r="B220" s="10" t="n">
        <x:v>1</x:v>
      </x:c>
      <x:c r="C220" s="8" t="str">
        <x:v>当前推荐</x:v>
      </x:c>
      <x:c r="D220" s="8" t="str">
        <x:v>临场救急</x:v>
      </x:c>
      <x:c r="E220" s="8" t="str">
        <x:v>全桌</x:v>
      </x:c>
      <x:c r="F220" s="8" t="str">
        <x:v>多看一点好光景</x:v>
      </x:c>
      <x:c r="G220" s="8" t="str">
        <x:v>《世说新语》里记载：“山川自相映发，使人应接不暇。”古人走一条路，也能看得兴致勃勃。今天这杯祝大家：忙碌之外，多留一双看风景的眼睛，寻常日子也有趣。</x:v>
      </x:c>
      <x:c r="H220" s="8" t="str">
        <x:v>《世说新语》里记载：“山川自相映发，使人应接不暇。”古人走一条路，也能看得兴致勃勃。今天这杯祝大家：忙碌之外，多留一双看风景的眼睛，寻常日子也有趣。
这杯敬同桌各位，愿忙里有欢喜，日常有回音。</x:v>
      </x:c>
      <x:c r="I220" s="8" t="str">
        <x:v>To seeing more of the world and sharing what we find.</x:v>
      </x:c>
      <x:c r="J220" s="8" t="str">
        <x:v>愿多看世界，也愿分享见闻。</x:v>
      </x:c>
      <x:c r="K220" s="8" t="str">
        <x:v>r04-story-09</x:v>
      </x:c>
      <x:c r="L220" s="8" t="str">
        <x:v>《世说新语·言语第九十一则》王子敬山阴道</x:v>
      </x:c>
      <x:c r="M220" s="8" t="str">
        <x:v>山川自相映发，使人应接不暇。</x:v>
      </x:c>
      <x:c r="N220" s="8" t="str">
        <x:v>描绘山阴山水，秋冬仍好；借眼界与生活兴味，不把饭桌说在山阴。</x:v>
      </x:c>
      <x:c r="O220" s="8" t="str">
        <x:v>随席取意</x:v>
      </x:c>
      <x:c r="P220" s="8" t="str">
        <x:v>未限定</x:v>
      </x:c>
      <x:c r="Q220" s="8" t="str">
        <x:v>未限定</x:v>
      </x:c>
      <x:c r="R220" s="8" t="str">
        <x:v>引句后整理</x:v>
      </x:c>
      <x:c r="S220" s="8" t="str">
        <x:v>雅致</x:v>
      </x:c>
      <x:c r="T220" s="8" t="str">
        <x:v>我以茶代酒，心意一样真。</x:v>
      </x:c>
      <x:c r="U220" s="8" t="str">
        <x:v>With tea in my cup and the same warm wishes.</x:v>
      </x:c>
      <x:c r="V220" s="8" t="str">
        <x:v>《世说新语》里记载：“山川自相映发，使人应接不暇。”古人走一条路，也能看得兴致勃勃。今天这杯祝大家：忙碌之外，多留一双看风景的眼睛，寻常日子也有趣。</x:v>
      </x:c>
      <x:c r="W220" s="8" t="str">
        <x:v>《世说新语》里记载：“山川自相映发，使人应接不暇。”古人走一条路，也能看得兴致勃勃。今天这杯祝大家：忙碌之外，多留一双看风景的眼睛，寻常日子也有趣。
这杯敬同桌各位，愿忙里有欢喜，日常有回音。</x:v>
      </x:c>
      <x:c r="X220" s="8" t="str">
        <x:v>spoken</x:v>
      </x:c>
      <x:c r="Y220" s="8" t="str">
        <x:v>story-0</x:v>
      </x:c>
      <x:c r="Z220" s="8" t="str"/>
      <x:c r="AA220" s="12" t="str"/>
    </x:row>
    <x:row r="221" ht="57" customHeight="1">
      <x:c r="A221" s="9" t="str">
        <x:v>r04-story-12-1</x:v>
      </x:c>
      <x:c r="B221" s="11" t="n">
        <x:v>1</x:v>
      </x:c>
      <x:c r="C221" s="9" t="str">
        <x:v>当前推荐</x:v>
      </x:c>
      <x:c r="D221" s="9" t="str">
        <x:v>临场救急</x:v>
      </x:c>
      <x:c r="E221" s="9" t="str">
        <x:v>全桌</x:v>
      </x:c>
      <x:c r="F221" s="9" t="str">
        <x:v>话短心意不短</x:v>
      </x:c>
      <x:c r="G221" s="9" t="str">
        <x:v>《世说新语》里记载：“将无同？”古人有个“三语掾”，三个字也能留下故事。我今天不敢比才学，只想把祝愿说清：愿各位事顺心宽，常有好消息。</x:v>
      </x:c>
      <x:c r="H221" s="9" t="str">
        <x:v>《世说新语》里记载：“将无同？”古人有个“三语掾”，三个字也能留下故事。我今天不敢比才学，只想把祝愿说清：愿各位事顺心宽，常有好消息。
这杯敬同桌各位，愿忙里有欢喜，日常有回音。</x:v>
      </x:c>
      <x:c r="I221" s="9" t="str">
        <x:v>A few words, with sincere wishes for good days ahead.</x:v>
      </x:c>
      <x:c r="J221" s="9" t="str">
        <x:v>话虽不多，真心祝愿往后的日子好。</x:v>
      </x:c>
      <x:c r="K221" s="9" t="str">
        <x:v>r04-story-12</x:v>
      </x:c>
      <x:c r="L221" s="9" t="str">
        <x:v>《世说新语·文学第十八则》阮修三语掾</x:v>
      </x:c>
      <x:c r="M221" s="9" t="str">
        <x:v>将无同？</x:v>
      </x:c>
      <x:c r="N221" s="9" t="str">
        <x:v>将无同为反问式揣度，不译为简单没有相同；不暗示只凭短话就能获任用。</x:v>
      </x:c>
      <x:c r="O221" s="9" t="str">
        <x:v>随席取意</x:v>
      </x:c>
      <x:c r="P221" s="9" t="str">
        <x:v>未限定</x:v>
      </x:c>
      <x:c r="Q221" s="9" t="str">
        <x:v>未限定</x:v>
      </x:c>
      <x:c r="R221" s="9" t="str">
        <x:v>引句后整理</x:v>
      </x:c>
      <x:c r="S221" s="9" t="str">
        <x:v>诙谐</x:v>
      </x:c>
      <x:c r="T221" s="9" t="str">
        <x:v>我以茶代酒，心意一样真。</x:v>
      </x:c>
      <x:c r="U221" s="9" t="str">
        <x:v>With tea in my cup and the same warm wishes.</x:v>
      </x:c>
      <x:c r="V221" s="9" t="str">
        <x:v>《世说新语》里记载：“将无同？”古人有个“三语掾”，三个字也能留下故事。我今天不敢比才学，只想把祝愿说清：愿各位事顺心宽，常有好消息。</x:v>
      </x:c>
      <x:c r="W221" s="9" t="str">
        <x:v>《世说新语》里记载：“将无同？”古人有个“三语掾”，三个字也能留下故事。我今天不敢比才学，只想把祝愿说清：愿各位事顺心宽，常有好消息。
这杯敬同桌各位，愿忙里有欢喜，日常有回音。</x:v>
      </x:c>
      <x:c r="X221" s="9" t="str">
        <x:v>spoken</x:v>
      </x:c>
      <x:c r="Y221" s="9" t="str">
        <x:v>story-3</x:v>
      </x:c>
      <x:c r="Z221" s="9" t="str"/>
      <x:c r="AA221" s="12" t="str"/>
    </x:row>
    <x:row r="222" ht="72" customHeight="1">
      <x:c r="A222" s="8" t="str">
        <x:v>r04-story-17-2</x:v>
      </x:c>
      <x:c r="B222" s="10" t="n">
        <x:v>1</x:v>
      </x:c>
      <x:c r="C222" s="8" t="str">
        <x:v>当前推荐</x:v>
      </x:c>
      <x:c r="D222" s="8" t="str">
        <x:v>临场救急</x:v>
      </x:c>
      <x:c r="E222" s="8" t="str">
        <x:v>全桌</x:v>
      </x:c>
      <x:c r="F222" s="8" t="str">
        <x:v>日子总要有点喜欢 · 再说一句</x:v>
      </x:c>
      <x:c r="G222" s="8" t="str">
        <x:v>古人舍不得一天没有竹，我借这份兴致祝大家：手上有事可做，心里有物可爱，日常总有一点欢喜。借这则旧事的一句：“何可一日无此君？”</x:v>
      </x:c>
      <x:c r="H222" s="8" t="str">
        <x:v>古人舍不得一天没有竹，我借这份兴致祝大家：手上有事可做，心里有物可爱，日常总有一点欢喜。
《世说新语》里记载：“何可一日无此君？”这杯敬同桌各位，愿忙里有欢喜，日常有回音。</x:v>
      </x:c>
      <x:c r="I222" s="8" t="str">
        <x:v>To keeping a little space in life for the things we love. Here is to another good day together.</x:v>
      </x:c>
      <x:c r="J222" s="8" t="str">
        <x:v>愿生活里，总留一点给所爱之事的空间。也盼再有同聚的好日子。</x:v>
      </x:c>
      <x:c r="K222" s="8" t="str">
        <x:v>r04-story-17</x:v>
      </x:c>
      <x:c r="L222" s="8" t="str">
        <x:v>《世说新语·任诞第四十六则》王子猷暂居种竹</x:v>
      </x:c>
      <x:c r="M222" s="8" t="str">
        <x:v>何可一日无此君？</x:v>
      </x:c>
      <x:c r="N222" s="8" t="str">
        <x:v>此君指竹，不是向领导作人身依附表态；不模仿未经允许改动他人居所。</x:v>
      </x:c>
      <x:c r="O222" s="8" t="str">
        <x:v>随席取意</x:v>
      </x:c>
      <x:c r="P222" s="8" t="str">
        <x:v>未限定</x:v>
      </x:c>
      <x:c r="Q222" s="8" t="str">
        <x:v>未限定</x:v>
      </x:c>
      <x:c r="R222" s="8" t="str">
        <x:v>引句后整理</x:v>
      </x:c>
      <x:c r="S222" s="8" t="str">
        <x:v>雅致</x:v>
      </x:c>
      <x:c r="T222" s="8" t="str">
        <x:v>我以茶代酒，心意一样真。</x:v>
      </x:c>
      <x:c r="U222" s="8" t="str">
        <x:v>With tea in my cup and the same warm wishes.</x:v>
      </x:c>
      <x:c r="V222" s="8" t="str">
        <x:v>古人舍不得一天没有竹，我借这份兴致祝大家：手上有事可做，心里有物可爱，日常总有一点欢喜。借这则旧事的一句：“何可一日无此君？”</x:v>
      </x:c>
      <x:c r="W222" s="8" t="str">
        <x:v>古人舍不得一天没有竹，我借这份兴致祝大家：手上有事可做，心里有物可爱，日常总有一点欢喜。
《世说新语》里记载：“何可一日无此君？”这杯敬同桌各位，愿忙里有欢喜，日常有回音。</x:v>
      </x:c>
      <x:c r="X222" s="8" t="str">
        <x:v>spoken</x:v>
      </x:c>
      <x:c r="Y222" s="8" t="str">
        <x:v>story-0</x:v>
      </x:c>
      <x:c r="Z222" s="8" t="str"/>
      <x:c r="AA222" s="12" t="str"/>
    </x:row>
    <x:row r="223" ht="72" customHeight="1">
      <x:c r="A223" s="9" t="str">
        <x:v>r04-story-18-2</x:v>
      </x:c>
      <x:c r="B223" s="11" t="n">
        <x:v>1</x:v>
      </x:c>
      <x:c r="C223" s="9" t="str">
        <x:v>当前推荐</x:v>
      </x:c>
      <x:c r="D223" s="9" t="str">
        <x:v>临场救急</x:v>
      </x:c>
      <x:c r="E223" s="9" t="str">
        <x:v>全桌</x:v>
      </x:c>
      <x:c r="F223" s="9" t="str">
        <x:v>今天真见着了 · 再说一句</x:v>
      </x:c>
      <x:c r="G223" s="9" t="str">
        <x:v>古人的兴致借来一点，行事还是把朋友放在心上。今天这杯敬大家，愿生活有临时起意的欢喜，也有说到做到的来往。借这则旧事的一句：“吾本乘兴而行，兴尽而返，何必见戴？”</x:v>
      </x:c>
      <x:c r="H223" s="9" t="str">
        <x:v>古人的兴致借来一点，行事还是把朋友放在心上。今天这杯敬大家，愿生活有临时起意的欢喜，也有说到做到的来往。
《世说新语》里记载：“吾本乘兴而行，兴尽而返，何必见戴？”这杯敬同桌各位，愿忙里有欢喜，日常有回音。</x:v>
      </x:c>
      <x:c r="I223" s="9" t="str">
        <x:v>To spontaneous joy, and to friends whose time we treat with care. Here is to another good day together.</x:v>
      </x:c>
      <x:c r="J223" s="9" t="str">
        <x:v>愿有随兴的欢喜，也珍惜朋友的时间。也盼再有同聚的好日子。</x:v>
      </x:c>
      <x:c r="K223" s="9" t="str">
        <x:v>r04-story-18</x:v>
      </x:c>
      <x:c r="L223" s="9" t="str">
        <x:v>《世说新语·任诞第四十七则》雪夜访戴</x:v>
      </x:c>
      <x:c r="M223" s="9" t="str">
        <x:v>吾本乘兴而行，兴尽而返，何必见戴？</x:v>
      </x:c>
      <x:c r="N223" s="9" t="str">
        <x:v>故事中没有见到戴逵；借兴致，不美化失约、不把兴尽而返写成宾主相会。</x:v>
      </x:c>
      <x:c r="O223" s="9" t="str">
        <x:v>随席取意</x:v>
      </x:c>
      <x:c r="P223" s="9" t="str">
        <x:v>未限定</x:v>
      </x:c>
      <x:c r="Q223" s="9" t="str">
        <x:v>未限定</x:v>
      </x:c>
      <x:c r="R223" s="9" t="str">
        <x:v>引句后整理</x:v>
      </x:c>
      <x:c r="S223" s="9" t="str">
        <x:v>雅致</x:v>
      </x:c>
      <x:c r="T223" s="9" t="str">
        <x:v>我以茶代酒，心意一样真。</x:v>
      </x:c>
      <x:c r="U223" s="9" t="str">
        <x:v>With tea in my cup and the same warm wishes.</x:v>
      </x:c>
      <x:c r="V223" s="9" t="str">
        <x:v>古人的兴致借来一点，行事还是把朋友放在心上。今天这杯敬大家，愿生活有临时起意的欢喜，也有说到做到的来往。借这则旧事的一句：“吾本乘兴而行，兴尽而返，何必见戴？”</x:v>
      </x:c>
      <x:c r="W223" s="9" t="str">
        <x:v>古人的兴致借来一点，行事还是把朋友放在心上。今天这杯敬大家，愿生活有临时起意的欢喜，也有说到做到的来往。
《世说新语》里记载：“吾本乘兴而行，兴尽而返，何必见戴？”这杯敬同桌各位，愿忙里有欢喜，日常有回音。</x:v>
      </x:c>
      <x:c r="X223" s="9" t="str">
        <x:v>spoken</x:v>
      </x:c>
      <x:c r="Y223" s="9" t="str">
        <x:v>story-1</x:v>
      </x:c>
      <x:c r="Z223" s="9" t="str"/>
      <x:c r="AA223" s="12" t="str"/>
    </x:row>
    <x:row r="224" ht="57" customHeight="1">
      <x:c r="A224" s="8" t="str">
        <x:v>r04-story-20-1</x:v>
      </x:c>
      <x:c r="B224" s="10" t="n">
        <x:v>1</x:v>
      </x:c>
      <x:c r="C224" s="8" t="str">
        <x:v>当前推荐</x:v>
      </x:c>
      <x:c r="D224" s="8" t="str">
        <x:v>临场救急</x:v>
      </x:c>
      <x:c r="E224" s="8" t="str">
        <x:v>全桌</x:v>
      </x:c>
      <x:c r="F224" s="8" t="str">
        <x:v>古人也会词穷吗</x:v>
      </x:c>
      <x:c r="G224" s="8" t="str">
        <x:v>《世说新语》里记载：“相识已多，不烦复尔。”书里罗君章连寒暄都想省，我就不学他的直白了。今天把话说短，把祝福送长：愿大家饭吃得香，日子过得亮。</x:v>
      </x:c>
      <x:c r="H224" s="8" t="str">
        <x:v>《世说新语》里记载：“相识已多，不烦复尔。”书里罗君章连寒暄都想省，我就不学他的直白了。今天把话说短，把祝福送长：愿大家饭吃得香，日子过得亮。
这杯敬同桌各位，愿忙里有欢喜，日常有回音。</x:v>
      </x:c>
      <x:c r="I224" s="8" t="str">
        <x:v>Short words, warm wishes, and no pressure to make a speech.</x:v>
      </x:c>
      <x:c r="J224" s="8" t="str">
        <x:v>话短、祝福暖，也不用勉强长篇发言。</x:v>
      </x:c>
      <x:c r="K224" s="8" t="str">
        <x:v>r04-story-20</x:v>
      </x:c>
      <x:c r="L224" s="8" t="str">
        <x:v>《世说新语·方正第五十六则》罗君章不强作交谈</x:v>
      </x:c>
      <x:c r="M224" s="8" t="str">
        <x:v>相识已多，不烦复尔。</x:v>
      </x:c>
      <x:c r="N224" s="8" t="str">
        <x:v>罗含简傲答语并非现代社交范本；借来轻轻自嘲，不让用户照说以拒客。</x:v>
      </x:c>
      <x:c r="O224" s="8" t="str">
        <x:v>随席取意</x:v>
      </x:c>
      <x:c r="P224" s="8" t="str">
        <x:v>未限定</x:v>
      </x:c>
      <x:c r="Q224" s="8" t="str">
        <x:v>未限定</x:v>
      </x:c>
      <x:c r="R224" s="8" t="str">
        <x:v>引句后整理</x:v>
      </x:c>
      <x:c r="S224" s="8" t="str">
        <x:v>诙谐</x:v>
      </x:c>
      <x:c r="T224" s="8" t="str">
        <x:v>我以茶代酒，心意一样真。</x:v>
      </x:c>
      <x:c r="U224" s="8" t="str">
        <x:v>With tea in my cup and the same warm wishes.</x:v>
      </x:c>
      <x:c r="V224" s="8" t="str">
        <x:v>《世说新语》里记载：“相识已多，不烦复尔。”书里罗君章连寒暄都想省，我就不学他的直白了。今天把话说短，把祝福送长：愿大家饭吃得香，日子过得亮。</x:v>
      </x:c>
      <x:c r="W224" s="8" t="str">
        <x:v>《世说新语》里记载：“相识已多，不烦复尔。”书里罗君章连寒暄都想省，我就不学他的直白了。今天把话说短，把祝福送长：愿大家饭吃得香，日子过得亮。
这杯敬同桌各位，愿忙里有欢喜，日常有回音。</x:v>
      </x:c>
      <x:c r="X224" s="8" t="str">
        <x:v>spoken</x:v>
      </x:c>
      <x:c r="Y224" s="8" t="str">
        <x:v>story-3</x:v>
      </x:c>
      <x:c r="Z224" s="8" t="str"/>
      <x:c r="AA224" s="12" t="str"/>
    </x:row>
    <x:row r="225" ht="42" customHeight="1">
      <x:c r="A225" s="9" t="str">
        <x:v>spoken-table-01</x:v>
      </x:c>
      <x:c r="B225" s="11" t="n">
        <x:v>1</x:v>
      </x:c>
      <x:c r="C225" s="9" t="str">
        <x:v>当前推荐</x:v>
      </x:c>
      <x:c r="D225" s="9" t="str">
        <x:v>临场救急</x:v>
      </x:c>
      <x:c r="E225" s="9" t="str">
        <x:v>全桌</x:v>
      </x:c>
      <x:c r="F225" s="9" t="str">
        <x:v>能坐到一起，就挺好</x:v>
      </x:c>
      <x:c r="G225" s="9" t="str">
        <x:v>能坐到一桌就是缘分。今天别光顾着客气，吃好、聊好，以后有机会咱们再聚。</x:v>
      </x:c>
      <x:c r="H225" s="9" t="str">
        <x:v>平时各有各的忙，今天能坐下来吃顿饭，就挺好。我先敬大家，祝各位忙的时候有收获，闲下来的时候，也有人一起吃饭聊天。</x:v>
      </x:c>
      <x:c r="I225" s="9" t="str">
        <x:v>Here’s to a good meal, good conversation, and another chance to meet.</x:v>
      </x:c>
      <x:c r="J225" s="9" t="str">
        <x:v>敬一顿好饭、愉快的交谈，也盼下次相聚。</x:v>
      </x:c>
      <x:c r="K225" s="9" t="str">
        <x:v>rhythm</x:v>
      </x:c>
      <x:c r="L225" s="9" t="str">
        <x:v>把话写给耳朵听</x:v>
      </x:c>
      <x:c r="M225" s="9" t="str"/>
      <x:c r="N225" s="9" t="str">
        <x:v>先看看同桌的人，再开口；不用背出致辞的语气。</x:v>
      </x:c>
      <x:c r="O225" s="9" t="str">
        <x:v>未限定</x:v>
      </x:c>
      <x:c r="P225" s="9" t="str">
        <x:v>未限定</x:v>
      </x:c>
      <x:c r="Q225" s="9" t="str">
        <x:v>未限定</x:v>
      </x:c>
      <x:c r="R225" s="9" t="str">
        <x:v>依据表达方法整理</x:v>
      </x:c>
      <x:c r="S225" s="9" t="str">
        <x:v>雅致</x:v>
      </x:c>
      <x:c r="T225" s="9" t="str">
        <x:v>今天我以茶代酒，心意都在。</x:v>
      </x:c>
      <x:c r="U225" s="9" t="str">
        <x:v>I’m raising a cup of tea, with the same warm wishes.</x:v>
      </x:c>
      <x:c r="V225" s="9" t="str">
        <x:v>能坐到一桌就是缘分。今天别光顾着客气，吃好、聊好，以后有机会咱们再聚。</x:v>
      </x:c>
      <x:c r="W225" s="9" t="str">
        <x:v>平时各有各的忙，今天能坐下来吃顿饭，就挺好。我先敬大家，祝各位忙的时候有收获，闲下来的时候，也有人一起吃饭聊天。</x:v>
      </x:c>
      <x:c r="X225" s="9" t="str">
        <x:v>spoken</x:v>
      </x:c>
      <x:c r="Y225" s="9" t="str">
        <x:v>plain</x:v>
      </x:c>
      <x:c r="Z225" s="9" t="str"/>
      <x:c r="AA225" s="12" t="str"/>
    </x:row>
    <x:row r="226" ht="42" customHeight="1">
      <x:c r="A226" s="8" t="str">
        <x:v>spoken-table-02</x:v>
      </x:c>
      <x:c r="B226" s="10" t="n">
        <x:v>1</x:v>
      </x:c>
      <x:c r="C226" s="8" t="str">
        <x:v>当前推荐</x:v>
      </x:c>
      <x:c r="D226" s="8" t="str">
        <x:v>临场救急</x:v>
      </x:c>
      <x:c r="E226" s="8" t="str">
        <x:v>全桌</x:v>
      </x:c>
      <x:c r="F226" s="8" t="str">
        <x:v>借今天认识大家</x:v>
      </x:c>
      <x:c r="G226" s="8" t="str">
        <x:v>今天先把人认熟，把话聊热。敬大家一杯，往后见了面，咱们就算认识了。</x:v>
      </x:c>
      <x:c r="H226" s="8" t="str">
        <x:v>今天同桌，有熟面孔，也可能有刚认识的朋友。我就借这杯酒跟大家打个招呼。祝各位日子过得顺心，也希望以后碰见了，都能笑着说一句：咱们一起吃过饭。</x:v>
      </x:c>
      <x:c r="I226" s="8" t="str">
        <x:v>To getting acquainted today and greeting each other as friends next time.</x:v>
      </x:c>
      <x:c r="J226" s="8" t="str">
        <x:v>敬今天相识，也盼下次像朋友一样打招呼。</x:v>
      </x:c>
      <x:c r="K226" s="8" t="str">
        <x:v>rhythm</x:v>
      </x:c>
      <x:c r="L226" s="8" t="str">
        <x:v>把话写给耳朵听</x:v>
      </x:c>
      <x:c r="M226" s="8" t="str"/>
      <x:c r="N226" s="8" t="str">
        <x:v>先看看同桌的人，再开口；不用背出致辞的语气。</x:v>
      </x:c>
      <x:c r="O226" s="8" t="str">
        <x:v>未限定</x:v>
      </x:c>
      <x:c r="P226" s="8" t="str">
        <x:v>未限定</x:v>
      </x:c>
      <x:c r="Q226" s="8" t="str">
        <x:v>未限定</x:v>
      </x:c>
      <x:c r="R226" s="8" t="str">
        <x:v>依据表达方法整理</x:v>
      </x:c>
      <x:c r="S226" s="8" t="str">
        <x:v>雅致</x:v>
      </x:c>
      <x:c r="T226" s="8" t="str">
        <x:v>杯里是茶，祝福一样认真。</x:v>
      </x:c>
      <x:c r="U226" s="8" t="str">
        <x:v>I’m raising a cup of tea, with the same warm wishes.</x:v>
      </x:c>
      <x:c r="V226" s="8" t="str">
        <x:v>今天先把人认熟，把话聊热。敬大家一杯，往后见了面，咱们就算认识了。</x:v>
      </x:c>
      <x:c r="W226" s="8" t="str">
        <x:v>今天同桌，有熟面孔，也可能有刚认识的朋友。我就借这杯酒跟大家打个招呼。祝各位日子过得顺心，也希望以后碰见了，都能笑着说一句：咱们一起吃过饭。</x:v>
      </x:c>
      <x:c r="X226" s="8" t="str">
        <x:v>spoken</x:v>
      </x:c>
      <x:c r="Y226" s="8" t="str">
        <x:v>plain</x:v>
      </x:c>
      <x:c r="Z226" s="8" t="str"/>
      <x:c r="AA226" s="12" t="str"/>
    </x:row>
    <x:row r="227" ht="42" customHeight="1">
      <x:c r="A227" s="9" t="str">
        <x:v>spoken-table-03</x:v>
      </x:c>
      <x:c r="B227" s="11" t="n">
        <x:v>1</x:v>
      </x:c>
      <x:c r="C227" s="9" t="str">
        <x:v>当前推荐</x:v>
      </x:c>
      <x:c r="D227" s="9" t="str">
        <x:v>临场救急</x:v>
      </x:c>
      <x:c r="E227" s="9" t="str">
        <x:v>全桌</x:v>
      </x:c>
      <x:c r="F227" s="9" t="str">
        <x:v>祝点实在的</x:v>
      </x:c>
      <x:c r="G227" s="9" t="str">
        <x:v>我祝大家一点实在的：身体好，睡得香，手头的事顺顺当当。来，敬各位。</x:v>
      </x:c>
      <x:c r="H227" s="9" t="str">
        <x:v>漂亮话我慢慢学，今天先祝大家一点实在的：累了能歇，忙了有成，回到家还有个好心情。能在这一桌碰杯，是今天的好事，我敬大家。</x:v>
      </x:c>
      <x:c r="I227" s="9" t="str">
        <x:v>Good health, restful nights, and a little less worry. Cheers, everyone.</x:v>
      </x:c>
      <x:c r="J227" s="9" t="str">
        <x:v>祝大家身体好、睡得好，少一点烦心事。</x:v>
      </x:c>
      <x:c r="K227" s="9" t="str">
        <x:v>rhythm</x:v>
      </x:c>
      <x:c r="L227" s="9" t="str">
        <x:v>把话写给耳朵听</x:v>
      </x:c>
      <x:c r="M227" s="9" t="str"/>
      <x:c r="N227" s="9" t="str">
        <x:v>先看看同桌的人，再开口；不用背出致辞的语气。</x:v>
      </x:c>
      <x:c r="O227" s="9" t="str">
        <x:v>未限定</x:v>
      </x:c>
      <x:c r="P227" s="9" t="str">
        <x:v>未限定</x:v>
      </x:c>
      <x:c r="Q227" s="9" t="str">
        <x:v>未限定</x:v>
      </x:c>
      <x:c r="R227" s="9" t="str">
        <x:v>依据表达方法整理</x:v>
      </x:c>
      <x:c r="S227" s="9" t="str">
        <x:v>雅致</x:v>
      </x:c>
      <x:c r="T227" s="9" t="str">
        <x:v>我用茶陪大家，咱们自在就好。</x:v>
      </x:c>
      <x:c r="U227" s="9" t="str">
        <x:v>I’m raising a cup of tea, with the same warm wishes.</x:v>
      </x:c>
      <x:c r="V227" s="9" t="str">
        <x:v>我祝大家一点实在的：身体好，睡得香，手头的事顺顺当当。来，敬各位。</x:v>
      </x:c>
      <x:c r="W227" s="9" t="str">
        <x:v>漂亮话我慢慢学，今天先祝大家一点实在的：累了能歇，忙了有成，回到家还有个好心情。能在这一桌碰杯，是今天的好事，我敬大家。</x:v>
      </x:c>
      <x:c r="X227" s="9" t="str">
        <x:v>spoken</x:v>
      </x:c>
      <x:c r="Y227" s="9" t="str">
        <x:v>plain</x:v>
      </x:c>
      <x:c r="Z227" s="9" t="str"/>
      <x:c r="AA227" s="12" t="str"/>
    </x:row>
    <x:row r="228" ht="42" customHeight="1">
      <x:c r="A228" s="8" t="str">
        <x:v>spoken-table-04</x:v>
      </x:c>
      <x:c r="B228" s="10" t="n">
        <x:v>1</x:v>
      </x:c>
      <x:c r="C228" s="8" t="str">
        <x:v>当前推荐</x:v>
      </x:c>
      <x:c r="D228" s="8" t="str">
        <x:v>临场救急</x:v>
      </x:c>
      <x:c r="E228" s="8" t="str">
        <x:v>全桌</x:v>
      </x:c>
      <x:c r="F228" s="8" t="str">
        <x:v>聊得来，比说得好重要</x:v>
      </x:c>
      <x:c r="G228" s="8" t="str">
        <x:v>“一觞一咏”，说到底就是有话可聊。今天我敬大家，愿这顿饭吃完，彼此都更亲近一点。</x:v>
      </x:c>
      <x:c r="H228" s="8" t="str">
        <x:v>“一觞一咏，亦足以畅叙幽情。”今天不比谁说得漂亮，聊得来就很难得。我敬大家一杯，祝各位有人说心里话，也常有这样坐下来慢慢聊的好时候。</x:v>
      </x:c>
      <x:c r="I228" s="8" t="str">
        <x:v>To conversations that bring us closer and people we can speak openly with.</x:v>
      </x:c>
      <x:c r="J228" s="8" t="str">
        <x:v>敬让人亲近的交谈，也愿身边有人可以说心里话。</x:v>
      </x:c>
      <x:c r="K228" s="8" t="str">
        <x:v>lanting</x:v>
      </x:c>
      <x:c r="L228" s="8" t="str">
        <x:v>王羲之《兰亭集序》</x:v>
      </x:c>
      <x:c r="M228" s="8" t="str">
        <x:v>一觞一咏，亦足以畅叙幽情。</x:v>
      </x:c>
      <x:c r="N228" s="8" t="str">
        <x:v>先看看同桌的人，再开口；不用背出致辞的语气。</x:v>
      </x:c>
      <x:c r="O228" s="8" t="str">
        <x:v>未限定</x:v>
      </x:c>
      <x:c r="P228" s="8" t="str">
        <x:v>未限定</x:v>
      </x:c>
      <x:c r="Q228" s="8" t="str">
        <x:v>未限定</x:v>
      </x:c>
      <x:c r="R228" s="8" t="str">
        <x:v>引句后整理</x:v>
      </x:c>
      <x:c r="S228" s="8" t="str">
        <x:v>雅致</x:v>
      </x:c>
      <x:c r="T228" s="8" t="str">
        <x:v>今天我以茶代酒，心意都在。</x:v>
      </x:c>
      <x:c r="U228" s="8" t="str">
        <x:v>I’m raising a cup of tea, with the same warm wishes.</x:v>
      </x:c>
      <x:c r="V228" s="8" t="str">
        <x:v>“一觞一咏”，说到底就是有话可聊。今天我敬大家，愿这顿饭吃完，彼此都更亲近一点。</x:v>
      </x:c>
      <x:c r="W228" s="8" t="str">
        <x:v>“一觞一咏，亦足以畅叙幽情。”今天不比谁说得漂亮，聊得来就很难得。我敬大家一杯，祝各位有人说心里话，也常有这样坐下来慢慢聊的好时候。</x:v>
      </x:c>
      <x:c r="X228" s="8" t="str">
        <x:v>spoken</x:v>
      </x:c>
      <x:c r="Y228" s="8" t="str">
        <x:v>verse</x:v>
      </x:c>
      <x:c r="Z228" s="8" t="str"/>
      <x:c r="AA228" s="12" t="str"/>
    </x:row>
    <x:row r="229" ht="42" customHeight="1">
      <x:c r="A229" s="9" t="str">
        <x:v>spoken-table-06</x:v>
      </x:c>
      <x:c r="B229" s="11" t="n">
        <x:v>1</x:v>
      </x:c>
      <x:c r="C229" s="9" t="str">
        <x:v>当前推荐</x:v>
      </x:c>
      <x:c r="D229" s="9" t="str">
        <x:v>临场救急</x:v>
      </x:c>
      <x:c r="E229" s="9" t="str">
        <x:v>全桌</x:v>
      </x:c>
      <x:c r="F229" s="9" t="str">
        <x:v>把这一顿饭吃开心</x:v>
      </x:c>
      <x:c r="G229" s="9" t="str">
        <x:v>借一句“欣于所遇”：今天碰上大家，是件开心事。我敬各位，咱们把这顿饭吃高兴了。</x:v>
      </x:c>
      <x:c r="H229" s="9" t="str">
        <x:v>借一句“欣于所遇”，说说今天这份高兴。事情可以慢慢忙，这顿饭咱们好好吃。我敬在座各位，祝大家生活里多几次这样的相遇，坐得下来，也聊得到一起。</x:v>
      </x:c>
      <x:c r="I229" s="9" t="str">
        <x:v>To enjoying this meal and making room for more happy meetings.</x:v>
      </x:c>
      <x:c r="J229" s="9" t="str">
        <x:v>敬这一顿饭的愉快，也盼生活里有更多欢喜的相遇。</x:v>
      </x:c>
      <x:c r="K229" s="9" t="str">
        <x:v>lantingMeet</x:v>
      </x:c>
      <x:c r="L229" s="9" t="str">
        <x:v>欣于所遇，珍惜此刻</x:v>
      </x:c>
      <x:c r="M229" s="9" t="str">
        <x:v>欣于所遇</x:v>
      </x:c>
      <x:c r="N229" s="9" t="str">
        <x:v>先看看同桌的人，再开口；不用背出致辞的语气。</x:v>
      </x:c>
      <x:c r="O229" s="9" t="str">
        <x:v>未限定</x:v>
      </x:c>
      <x:c r="P229" s="9" t="str">
        <x:v>未限定</x:v>
      </x:c>
      <x:c r="Q229" s="9" t="str">
        <x:v>未限定</x:v>
      </x:c>
      <x:c r="R229" s="9" t="str">
        <x:v>引句后整理</x:v>
      </x:c>
      <x:c r="S229" s="9" t="str">
        <x:v>雅致</x:v>
      </x:c>
      <x:c r="T229" s="9" t="str">
        <x:v>我用茶陪大家，咱们自在就好。</x:v>
      </x:c>
      <x:c r="U229" s="9" t="str">
        <x:v>I’m raising a cup of tea, with the same warm wishes.</x:v>
      </x:c>
      <x:c r="V229" s="9" t="str">
        <x:v>借一句“欣于所遇”：今天碰上大家，是件开心事。我敬各位，咱们把这顿饭吃高兴了。</x:v>
      </x:c>
      <x:c r="W229" s="9" t="str">
        <x:v>借一句“欣于所遇”，说说今天这份高兴。事情可以慢慢忙，这顿饭咱们好好吃。我敬在座各位，祝大家生活里多几次这样的相遇，坐得下来，也聊得到一起。</x:v>
      </x:c>
      <x:c r="X229" s="9" t="str">
        <x:v>spoken</x:v>
      </x:c>
      <x:c r="Y229" s="9" t="str">
        <x:v>verse</x:v>
      </x:c>
      <x:c r="Z229" s="9" t="str"/>
      <x:c r="AA229" s="12" t="str"/>
    </x:row>
    <x:row r="230" ht="42" customHeight="1">
      <x:c r="A230" s="8" t="str">
        <x:v>spoken-table-07</x:v>
      </x:c>
      <x:c r="B230" s="10" t="n">
        <x:v>1</x:v>
      </x:c>
      <x:c r="C230" s="8" t="str">
        <x:v>当前推荐</x:v>
      </x:c>
      <x:c r="D230" s="8" t="str">
        <x:v>临场救急</x:v>
      </x:c>
      <x:c r="E230" s="8" t="str">
        <x:v>全桌</x:v>
      </x:c>
      <x:c r="F230" s="8" t="str">
        <x:v>临时发言，祝福管够</x:v>
      </x:c>
      <x:c r="G230" s="8" t="str">
        <x:v>突然叫我说两句，词儿还没到，祝福先到了：大家吃好、聊好，好事常有！</x:v>
      </x:c>
      <x:c r="H230" s="8" t="str">
        <x:v>突然叫我说两句，我这脑子还在找开场白，心里已经开始祝大家好了。今天就说简单点：烦心事少来，好消息多来，朋友常来。来，我敬大家。</x:v>
      </x:c>
      <x:c r="I230" s="8" t="str">
        <x:v>My speech may be improvised, but the good wishes are ready. Cheers, everyone!</x:v>
      </x:c>
      <x:c r="J230" s="8" t="str">
        <x:v>话是临时想的，祝福是早已准备好的，敬大家。</x:v>
      </x:c>
      <x:c r="K230" s="8" t="str">
        <x:v>rhythm</x:v>
      </x:c>
      <x:c r="L230" s="8" t="str">
        <x:v>把话写给耳朵听</x:v>
      </x:c>
      <x:c r="M230" s="8" t="str"/>
      <x:c r="N230" s="8" t="str">
        <x:v>先看看同桌的人，再开口；不用背出致辞的语气。</x:v>
      </x:c>
      <x:c r="O230" s="8" t="str">
        <x:v>未限定</x:v>
      </x:c>
      <x:c r="P230" s="8" t="str">
        <x:v>未限定</x:v>
      </x:c>
      <x:c r="Q230" s="8" t="str">
        <x:v>未限定</x:v>
      </x:c>
      <x:c r="R230" s="8" t="str">
        <x:v>依据表达方法整理</x:v>
      </x:c>
      <x:c r="S230" s="8" t="str">
        <x:v>诙谐</x:v>
      </x:c>
      <x:c r="T230" s="8" t="str">
        <x:v>今天我以茶代酒，心意都在。</x:v>
      </x:c>
      <x:c r="U230" s="8" t="str">
        <x:v>I’m raising a cup of tea, with the same warm wishes.</x:v>
      </x:c>
      <x:c r="V230" s="8" t="str">
        <x:v>突然叫我说两句，词儿还没到，祝福先到了：大家吃好、聊好，好事常有！</x:v>
      </x:c>
      <x:c r="W230" s="8" t="str">
        <x:v>突然叫我说两句，我这脑子还在找开场白，心里已经开始祝大家好了。今天就说简单点：烦心事少来，好消息多来，朋友常来。来，我敬大家。</x:v>
      </x:c>
      <x:c r="X230" s="8" t="str">
        <x:v>spoken</x:v>
      </x:c>
      <x:c r="Y230" s="8" t="str">
        <x:v>fun</x:v>
      </x:c>
      <x:c r="Z230" s="8" t="str"/>
      <x:c r="AA230" s="12" t="str"/>
    </x:row>
    <x:row r="231" ht="42" customHeight="1">
      <x:c r="A231" s="9" t="str">
        <x:v>spoken-table-08</x:v>
      </x:c>
      <x:c r="B231" s="11" t="n">
        <x:v>1</x:v>
      </x:c>
      <x:c r="C231" s="9" t="str">
        <x:v>当前推荐</x:v>
      </x:c>
      <x:c r="D231" s="9" t="str">
        <x:v>临场救急</x:v>
      </x:c>
      <x:c r="E231" s="9" t="str">
        <x:v>全桌</x:v>
      </x:c>
      <x:c r="F231" s="9" t="str">
        <x:v>话可以短，饭慢慢吃</x:v>
      </x:c>
      <x:c r="G231" s="9" t="str">
        <x:v>话我说短点，饭咱慢慢吃。祝大家胃口好、心情好，今天都尽兴！</x:v>
      </x:c>
      <x:c r="H231" s="9" t="str">
        <x:v>轮到我了，那我就负责说短一点，让大家多吃两口。祝各位手里的事好办，心里的事好说，桌上的菜合口。来，敬这一桌好心情。</x:v>
      </x:c>
      <x:c r="I231" s="9" t="str">
        <x:v>A short toast, more time for dinner. Here’s to good food and good spirits!</x:v>
      </x:c>
      <x:c r="J231" s="9" t="str">
        <x:v>话说短一点，多留时间吃饭，祝大家吃得好、心情好。</x:v>
      </x:c>
      <x:c r="K231" s="9" t="str">
        <x:v>rhythm</x:v>
      </x:c>
      <x:c r="L231" s="9" t="str">
        <x:v>把话写给耳朵听</x:v>
      </x:c>
      <x:c r="M231" s="9" t="str"/>
      <x:c r="N231" s="9" t="str">
        <x:v>先看看同桌的人，再开口；不用背出致辞的语气。</x:v>
      </x:c>
      <x:c r="O231" s="9" t="str">
        <x:v>未限定</x:v>
      </x:c>
      <x:c r="P231" s="9" t="str">
        <x:v>未限定</x:v>
      </x:c>
      <x:c r="Q231" s="9" t="str">
        <x:v>未限定</x:v>
      </x:c>
      <x:c r="R231" s="9" t="str">
        <x:v>依据表达方法整理</x:v>
      </x:c>
      <x:c r="S231" s="9" t="str">
        <x:v>诙谐</x:v>
      </x:c>
      <x:c r="T231" s="9" t="str">
        <x:v>杯里是茶，祝福一样认真。</x:v>
      </x:c>
      <x:c r="U231" s="9" t="str">
        <x:v>I’m raising a cup of tea, with the same warm wishes.</x:v>
      </x:c>
      <x:c r="V231" s="9" t="str">
        <x:v>话我说短点，饭咱慢慢吃。祝大家胃口好、心情好，今天都尽兴！</x:v>
      </x:c>
      <x:c r="W231" s="9" t="str">
        <x:v>轮到我了，那我就负责说短一点，让大家多吃两口。祝各位手里的事好办，心里的事好说，桌上的菜合口。来，敬这一桌好心情。</x:v>
      </x:c>
      <x:c r="X231" s="9" t="str">
        <x:v>spoken</x:v>
      </x:c>
      <x:c r="Y231" s="9" t="str">
        <x:v>fun</x:v>
      </x:c>
      <x:c r="Z231" s="9" t="str"/>
      <x:c r="AA231" s="12" t="str"/>
    </x:row>
    <x:row r="232" ht="42" customHeight="1">
      <x:c r="A232" s="8" t="str">
        <x:v>spoken-table-09</x:v>
      </x:c>
      <x:c r="B232" s="10" t="n">
        <x:v>1</x:v>
      </x:c>
      <x:c r="C232" s="8" t="str">
        <x:v>当前推荐</x:v>
      </x:c>
      <x:c r="D232" s="8" t="str">
        <x:v>临场救急</x:v>
      </x:c>
      <x:c r="E232" s="8" t="str">
        <x:v>全桌</x:v>
      </x:c>
      <x:c r="F232" s="8" t="str">
        <x:v>有空坐坐，就很难得</x:v>
      </x:c>
      <x:c r="G232" s="8" t="str">
        <x:v>日子再忙，也得有一起吃饭的人。这杯敬大家，愿各位忙得值得，聚得开心。</x:v>
      </x:c>
      <x:c r="H232" s="8" t="str">
        <x:v>今天坐在这儿，我觉得一顿饭能把人拉近不少。这杯敬大家，祝各位忙的事都有进展，也总有时间和愿意相见的人坐一坐。</x:v>
      </x:c>
      <x:c r="I232" s="8" t="str">
        <x:v>May we always make time for the people we enjoy sharing a table with.</x:v>
      </x:c>
      <x:c r="J232" s="8" t="str">
        <x:v>愿我们总能为想一起吃饭的人留出时间。</x:v>
      </x:c>
      <x:c r="K232" s="8" t="str">
        <x:v>rhythm</x:v>
      </x:c>
      <x:c r="L232" s="8" t="str">
        <x:v>把话写给耳朵听</x:v>
      </x:c>
      <x:c r="M232" s="8" t="str"/>
      <x:c r="N232" s="8" t="str">
        <x:v>先看看同桌的人，再开口；不用背出致辞的语气。</x:v>
      </x:c>
      <x:c r="O232" s="8" t="str">
        <x:v>未限定</x:v>
      </x:c>
      <x:c r="P232" s="8" t="str">
        <x:v>未限定</x:v>
      </x:c>
      <x:c r="Q232" s="8" t="str">
        <x:v>未限定</x:v>
      </x:c>
      <x:c r="R232" s="8" t="str">
        <x:v>依据表达方法整理</x:v>
      </x:c>
      <x:c r="S232" s="8" t="str">
        <x:v>雅致</x:v>
      </x:c>
      <x:c r="T232" s="8" t="str">
        <x:v>我用茶陪大家，咱们自在就好。</x:v>
      </x:c>
      <x:c r="U232" s="8" t="str">
        <x:v>I’m raising a cup of tea, with the same warm wishes.</x:v>
      </x:c>
      <x:c r="V232" s="8" t="str">
        <x:v>日子再忙，也得有一起吃饭的人。这杯敬大家，愿各位忙得值得，聚得开心。</x:v>
      </x:c>
      <x:c r="W232" s="8" t="str">
        <x:v>今天坐在这儿，我觉得一顿饭能把人拉近不少。这杯敬大家，祝各位忙的事都有进展，也总有时间和愿意相见的人坐一坐。</x:v>
      </x:c>
      <x:c r="X232" s="8" t="str">
        <x:v>spoken</x:v>
      </x:c>
      <x:c r="Y232" s="8" t="str">
        <x:v>plain</x:v>
      </x:c>
      <x:c r="Z232" s="8" t="str"/>
      <x:c r="AA232" s="12" t="str"/>
    </x:row>
    <x:row r="233" ht="42" customHeight="1">
      <x:c r="A233" s="9" t="str">
        <x:v>spoken-table-11</x:v>
      </x:c>
      <x:c r="B233" s="11" t="n">
        <x:v>1</x:v>
      </x:c>
      <x:c r="C233" s="9" t="str">
        <x:v>当前推荐</x:v>
      </x:c>
      <x:c r="D233" s="9" t="str">
        <x:v>临场救急</x:v>
      </x:c>
      <x:c r="E233" s="9" t="str">
        <x:v>全桌</x:v>
      </x:c>
      <x:c r="F233" s="9" t="str">
        <x:v>我先起个头</x:v>
      </x:c>
      <x:c r="G233" s="9" t="str">
        <x:v>我先起个头，把祝福送到桌上：好事多一点，烦心少一点，大家吃得开心一点。</x:v>
      </x:c>
      <x:c r="H233" s="9" t="str">
        <x:v>突然让我说两句，那我就先抛个砖，祝大家最近都有点值得高兴的事。事情办成了有人庆祝，饭菜好吃了有人分享。来，我敬大家。</x:v>
      </x:c>
      <x:c r="I233" s="9" t="str">
        <x:v>I’ll get us started: more good news, fewer worries, and plenty of reasons to smile.</x:v>
      </x:c>
      <x:c r="J233" s="9" t="str">
        <x:v>我先起个头，祝大家好消息多、烦心事少，笑容常有。</x:v>
      </x:c>
      <x:c r="K233" s="9" t="str">
        <x:v>rhythm</x:v>
      </x:c>
      <x:c r="L233" s="9" t="str">
        <x:v>把话写给耳朵听</x:v>
      </x:c>
      <x:c r="M233" s="9" t="str"/>
      <x:c r="N233" s="9" t="str">
        <x:v>先看看同桌的人，再开口；不用背出致辞的语气。</x:v>
      </x:c>
      <x:c r="O233" s="9" t="str">
        <x:v>未限定</x:v>
      </x:c>
      <x:c r="P233" s="9" t="str">
        <x:v>未限定</x:v>
      </x:c>
      <x:c r="Q233" s="9" t="str">
        <x:v>未限定</x:v>
      </x:c>
      <x:c r="R233" s="9" t="str">
        <x:v>依据表达方法整理</x:v>
      </x:c>
      <x:c r="S233" s="9" t="str">
        <x:v>诙谐</x:v>
      </x:c>
      <x:c r="T233" s="9" t="str">
        <x:v>杯里是茶，祝福一样认真。</x:v>
      </x:c>
      <x:c r="U233" s="9" t="str">
        <x:v>I’m raising a cup of tea, with the same warm wishes.</x:v>
      </x:c>
      <x:c r="V233" s="9" t="str">
        <x:v>我先起个头，把祝福送到桌上：好事多一点，烦心少一点，大家吃得开心一点。</x:v>
      </x:c>
      <x:c r="W233" s="9" t="str">
        <x:v>突然让我说两句，那我就先抛个砖，祝大家最近都有点值得高兴的事。事情办成了有人庆祝，饭菜好吃了有人分享。来，我敬大家。</x:v>
      </x:c>
      <x:c r="X233" s="9" t="str">
        <x:v>spoken</x:v>
      </x:c>
      <x:c r="Y233" s="9" t="str">
        <x:v>fun</x:v>
      </x:c>
      <x:c r="Z233" s="9" t="str"/>
      <x:c r="AA233" s="12" t="str"/>
    </x:row>
    <x:row r="234" ht="42" customHeight="1">
      <x:c r="A234" s="8" t="str">
        <x:v>spoken-table-12</x:v>
      </x:c>
      <x:c r="B234" s="10" t="n">
        <x:v>1</x:v>
      </x:c>
      <x:c r="C234" s="8" t="str">
        <x:v>当前推荐</x:v>
      </x:c>
      <x:c r="D234" s="8" t="str">
        <x:v>临场救急</x:v>
      </x:c>
      <x:c r="E234" s="8" t="str">
        <x:v>全桌</x:v>
      </x:c>
      <x:c r="F234" s="8" t="str">
        <x:v>好消息，欢迎插队</x:v>
      </x:c>
      <x:c r="G234" s="8" t="str">
        <x:v>这杯祝大家好消息常来，最好还会插队。今天咱们先吃好、聊好，开心最要紧。</x:v>
      </x:c>
      <x:c r="H234" s="8" t="str">
        <x:v>生活里要排队的事不少，我就祝大家的好消息会插队，早一点到。来，敬在座各位，愿各自都有盼头，也常有人一起分享高兴。</x:v>
      </x:c>
      <x:c r="I234" s="8" t="str">
        <x:v>May good news find its way to the front of the queue. Cheers, everyone!</x:v>
      </x:c>
      <x:c r="J234" s="8" t="str">
        <x:v>愿大家的好消息早一点到，敬各位。</x:v>
      </x:c>
      <x:c r="K234" s="8" t="str">
        <x:v>rhythm</x:v>
      </x:c>
      <x:c r="L234" s="8" t="str">
        <x:v>把话写给耳朵听</x:v>
      </x:c>
      <x:c r="M234" s="8" t="str"/>
      <x:c r="N234" s="8" t="str">
        <x:v>先看看同桌的人，再开口；不用背出致辞的语气。</x:v>
      </x:c>
      <x:c r="O234" s="8" t="str">
        <x:v>未限定</x:v>
      </x:c>
      <x:c r="P234" s="8" t="str">
        <x:v>未限定</x:v>
      </x:c>
      <x:c r="Q234" s="8" t="str">
        <x:v>未限定</x:v>
      </x:c>
      <x:c r="R234" s="8" t="str">
        <x:v>依据表达方法整理</x:v>
      </x:c>
      <x:c r="S234" s="8" t="str">
        <x:v>诙谐</x:v>
      </x:c>
      <x:c r="T234" s="8" t="str">
        <x:v>我用茶陪大家，咱们自在就好。</x:v>
      </x:c>
      <x:c r="U234" s="8" t="str">
        <x:v>I’m raising a cup of tea, with the same warm wishes.</x:v>
      </x:c>
      <x:c r="V234" s="8" t="str">
        <x:v>这杯祝大家好消息常来，最好还会插队。今天咱们先吃好、聊好，开心最要紧。</x:v>
      </x:c>
      <x:c r="W234" s="8" t="str">
        <x:v>生活里要排队的事不少，我就祝大家的好消息会插队，早一点到。来，敬在座各位，愿各自都有盼头，也常有人一起分享高兴。</x:v>
      </x:c>
      <x:c r="X234" s="8" t="str">
        <x:v>spoken</x:v>
      </x:c>
      <x:c r="Y234" s="8" t="str">
        <x:v>fun</x:v>
      </x:c>
      <x:c r="Z234" s="8" t="str"/>
      <x:c r="AA234" s="12" t="str"/>
    </x:row>
    <x:row r="235" ht="57" customHeight="1">
      <x:c r="A235" s="9" t="str">
        <x:v>verse-bai-city</x:v>
      </x:c>
      <x:c r="B235" s="11" t="n">
        <x:v>1</x:v>
      </x:c>
      <x:c r="C235" s="9" t="str">
        <x:v>当前推荐</x:v>
      </x:c>
      <x:c r="D235" s="9" t="str">
        <x:v>临场救急</x:v>
      </x:c>
      <x:c r="E235" s="9" t="str">
        <x:v>全桌</x:v>
      </x:c>
      <x:c r="F235" s="9" t="str">
        <x:v>万家灯火，难得这一桌</x:v>
      </x:c>
      <x:c r="G235" s="9" t="str">
        <x:v>“灯火万家城四畔，星河一道水中央。”万家灯火里，能和各位坐到这一桌，也是自己的好光景。今天敬大家，愿家中有人等，席上有人懂。</x:v>
      </x:c>
      <x:c r="H235" s="9" t="str">
        <x:v>白居易写“灯火万家城四畔，星河一道水中央”，把一城灯火写得很动人。今天借这句，敬我们自己的这一桌：各人忙过各人的一天，还愿意坐下来一起吃顿饭。愿大家忙时有所得，回家有暖意，想说话的时候也总有人听。</x:v>
      </x:c>
      <x:c r="I235" s="9" t="str">
        <x:v>To this table among a city full of lights, and to having people who wait for us and listen to us.</x:v>
      </x:c>
      <x:c r="J235" s="9" t="str">
        <x:v>敬万家灯火中的这一桌，也愿有人等候、有人倾听。</x:v>
      </x:c>
      <x:c r="K235" s="9" t="str">
        <x:v>poem-bai-city</x:v>
      </x:c>
      <x:c r="L235" s="9" t="str">
        <x:v>白居易《江楼夕望招客》</x:v>
      </x:c>
      <x:c r="M235" s="9" t="str">
        <x:v>灯火万家城四畔，星河一道水中央。</x:v>
      </x:c>
      <x:c r="N235" s="9" t="str">
        <x:v>诗中登楼招客，灯火与星河交映；借灯火中的相聚，不将江楼景色当今天实景。</x:v>
      </x:c>
      <x:c r="O235" s="9" t="str">
        <x:v>夜晚小酌、月色入杯</x:v>
      </x:c>
      <x:c r="P235" s="9" t="str">
        <x:v>未限定</x:v>
      </x:c>
      <x:c r="Q235" s="9" t="str">
        <x:v>未限定</x:v>
      </x:c>
      <x:c r="R235" s="9" t="str">
        <x:v>引句后整理</x:v>
      </x:c>
      <x:c r="S235" s="9" t="str">
        <x:v>雅致</x:v>
      </x:c>
      <x:c r="T235" s="9" t="str">
        <x:v>我以茶代酒，心意一样。</x:v>
      </x:c>
      <x:c r="U235" s="9" t="str">
        <x:v>With tea in my cup and the same warm wishes.</x:v>
      </x:c>
      <x:c r="V235" s="9" t="str">
        <x:v>“灯火万家城四畔，星河一道水中央。”万家灯火里，能和各位坐到这一桌，也是自己的好光景。今天敬大家，愿家中有人等，席上有人懂。</x:v>
      </x:c>
      <x:c r="W235" s="9" t="str">
        <x:v>白居易写“灯火万家城四畔，星河一道水中央”，把一城灯火写得很动人。今天借这句，敬我们自己的这一桌：各人忙过各人的一天，还愿意坐下来一起吃顿饭。愿大家忙时有所得，回家有暖意，想说话的时候也总有人听。</x:v>
      </x:c>
      <x:c r="X235" s="9" t="str">
        <x:v>spoken</x:v>
      </x:c>
      <x:c r="Y235" s="9" t="str">
        <x:v>verse</x:v>
      </x:c>
      <x:c r="Z235" s="9" t="str"/>
      <x:c r="AA235" s="12" t="str"/>
    </x:row>
    <x:row r="236" ht="57" customHeight="1">
      <x:c r="A236" s="8" t="str">
        <x:v>verse-bai-invite</x:v>
      </x:c>
      <x:c r="B236" s="10" t="n">
        <x:v>1</x:v>
      </x:c>
      <x:c r="C236" s="8" t="str">
        <x:v>当前推荐</x:v>
      </x:c>
      <x:c r="D236" s="8" t="str">
        <x:v>临场救急</x:v>
      </x:c>
      <x:c r="E236" s="8" t="str">
        <x:v>全桌</x:v>
      </x:c>
      <x:c r="F236" s="8" t="str">
        <x:v>这份心意，比酒贵</x:v>
      </x:c>
      <x:c r="G236" s="8" t="str">
        <x:v>“晚来天欲雪，能饮一杯无？”外面什么天气不重要，难得的是大家愿意把时间留给这一桌。这份心意，比酒贵。</x:v>
      </x:c>
      <x:c r="H236" s="8" t="str">
        <x:v>白居易有句“晚来天欲雪，能饮一杯无？”外面什么天气不重要，重要的是这桌上的人，愿意把这一段时间交出来。这份心意，比酒贵。今天这杯敬大家：愿往后忙归忙，总还有人可约，有话可聊。</x:v>
      </x:c>
      <x:c r="I236" s="8" t="str">
        <x:v>Here’s to the time we make for one another. That kindness is worth more than what is in the glass.</x:v>
      </x:c>
      <x:c r="J236" s="8" t="str">
        <x:v>敬彼此愿意留出的时间，这份心意比杯中的酒更珍贵。</x:v>
      </x:c>
      <x:c r="K236" s="8" t="str">
        <x:v>poem-bai-invite</x:v>
      </x:c>
      <x:c r="L236" s="8" t="str">
        <x:v>白居易《问刘十九》</x:v>
      </x:c>
      <x:c r="M236" s="8" t="str">
        <x:v>晚来天欲雪，能饮一杯无？</x:v>
      </x:c>
      <x:c r="N236" s="8" t="str">
        <x:v>原诗以炉火、新酒和雪意邀友；今天借的是愿意相陪的心意，不预报现场天气。</x:v>
      </x:c>
      <x:c r="O236" s="8" t="str">
        <x:v>夜晚小酌、邀饮待客、好友知己</x:v>
      </x:c>
      <x:c r="P236" s="8" t="str">
        <x:v>未限定</x:v>
      </x:c>
      <x:c r="Q236" s="8" t="str">
        <x:v>未限定</x:v>
      </x:c>
      <x:c r="R236" s="8" t="str">
        <x:v>引句后整理</x:v>
      </x:c>
      <x:c r="S236" s="8" t="str">
        <x:v>雅致</x:v>
      </x:c>
      <x:c r="T236" s="8" t="str">
        <x:v>我以茶代酒，心意一样。</x:v>
      </x:c>
      <x:c r="U236" s="8" t="str">
        <x:v>With tea in my cup and the same warm wishes.</x:v>
      </x:c>
      <x:c r="V236" s="8" t="str">
        <x:v>“晚来天欲雪，能饮一杯无？”外面什么天气不重要，难得的是大家愿意把时间留给这一桌。这份心意，比酒贵。</x:v>
      </x:c>
      <x:c r="W236" s="8" t="str">
        <x:v>白居易有句“晚来天欲雪，能饮一杯无？”外面什么天气不重要，重要的是这桌上的人，愿意把这一段时间交出来。这份心意，比酒贵。今天这杯敬大家：愿往后忙归忙，总还有人可约，有话可聊。</x:v>
      </x:c>
      <x:c r="X236" s="8" t="str">
        <x:v>spoken</x:v>
      </x:c>
      <x:c r="Y236" s="8" t="str">
        <x:v>verse</x:v>
      </x:c>
      <x:c r="Z236" s="8" t="str"/>
      <x:c r="AA236" s="12" t="str"/>
    </x:row>
    <x:row r="237" ht="57" customHeight="1">
      <x:c r="A237" s="9" t="str">
        <x:v>verse-bai-moonfriend</x:v>
      </x:c>
      <x:c r="B237" s="11" t="n">
        <x:v>1</x:v>
      </x:c>
      <x:c r="C237" s="9" t="str">
        <x:v>当前推荐</x:v>
      </x:c>
      <x:c r="D237" s="9" t="str">
        <x:v>临场救急</x:v>
      </x:c>
      <x:c r="E237" s="9" t="str">
        <x:v>全桌</x:v>
      </x:c>
      <x:c r="F237" s="9" t="str">
        <x:v>中秋，敬眼前也念远方</x:v>
      </x:c>
      <x:c r="G237" s="9" t="str">
        <x:v>“三五夜中新月色，二千里外故人心。”今天中秋，这杯敬眼前同桌的人，也念远方惦记的人。愿相聚有暖，牵挂有回音。</x:v>
      </x:c>
      <x:c r="H237" s="9" t="str">
        <x:v>白居易中秋想念朋友，写“三五夜中新月色，二千里外故人心。”今天借这句，敬眼前能同桌的人，也念远方还没见上的人。月圆是个好意头，能把彼此放在心上，更是实在的团圆。祝各位中秋安好，愿想见的人，总有相见的时候。</x:v>
      </x:c>
      <x:c r="I237" s="9" t="str">
        <x:v>On Mid-Autumn, to those at this table and those far away. May the people we miss find their way back to us.</x:v>
      </x:c>
      <x:c r="J237" s="9" t="str">
        <x:v>中秋敬同桌之人，也念远方之人，愿牵挂终有相见。</x:v>
      </x:c>
      <x:c r="K237" s="9" t="str">
        <x:v>poem-bai-moonfriend</x:v>
      </x:c>
      <x:c r="L237" s="9" t="str">
        <x:v>白居易《八月十五日夜禁中独直对月忆元九》</x:v>
      </x:c>
      <x:c r="M237" s="9" t="str">
        <x:v>三五夜中新月色，二千里外故人心。</x:v>
      </x:c>
      <x:c r="N237" s="9" t="str">
        <x:v>三五指十五，原诗中秋独直思友，也担心友人遇阴天；月圆是节日意象，不断言现场见月。</x:v>
      </x:c>
      <x:c r="O237" s="9" t="str">
        <x:v>月色入杯、夜晚小酌、邀饮待客、好友知己、团圆相聚</x:v>
      </x:c>
      <x:c r="P237" s="9" t="str">
        <x:v>未限定</x:v>
      </x:c>
      <x:c r="Q237" s="9" t="str">
        <x:v>中秋</x:v>
      </x:c>
      <x:c r="R237" s="9" t="str">
        <x:v>引句后整理</x:v>
      </x:c>
      <x:c r="S237" s="9" t="str">
        <x:v>雅致</x:v>
      </x:c>
      <x:c r="T237" s="9" t="str">
        <x:v>我以茶代酒，心意一样。</x:v>
      </x:c>
      <x:c r="U237" s="9" t="str">
        <x:v>With tea in my cup and the same warm wishes.</x:v>
      </x:c>
      <x:c r="V237" s="9" t="str">
        <x:v>“三五夜中新月色，二千里外故人心。”今天中秋，这杯敬眼前同桌的人，也念远方惦记的人。愿相聚有暖，牵挂有回音。</x:v>
      </x:c>
      <x:c r="W237" s="9" t="str">
        <x:v>白居易中秋想念朋友，写“三五夜中新月色，二千里外故人心。”今天借这句，敬眼前能同桌的人，也念远方还没见上的人。月圆是个好意头，能把彼此放在心上，更是实在的团圆。祝各位中秋安好，愿想见的人，总有相见的时候。</x:v>
      </x:c>
      <x:c r="X237" s="9" t="str">
        <x:v>spoken</x:v>
      </x:c>
      <x:c r="Y237" s="9" t="str">
        <x:v>verse</x:v>
      </x:c>
      <x:c r="Z237" s="9" t="str"/>
      <x:c r="AA237" s="12" t="str"/>
    </x:row>
    <x:row r="238" ht="57" customHeight="1">
      <x:c r="A238" s="8" t="str">
        <x:v>verse-du-lamplight-table</x:v>
      </x:c>
      <x:c r="B238" s="10" t="n">
        <x:v>1</x:v>
      </x:c>
      <x:c r="C238" s="8" t="str">
        <x:v>当前推荐</x:v>
      </x:c>
      <x:c r="D238" s="8" t="str">
        <x:v>临场救急</x:v>
      </x:c>
      <x:c r="E238" s="8" t="str">
        <x:v>全桌</x:v>
      </x:c>
      <x:c r="F238" s="8" t="str">
        <x:v>这一席相聚，值得珍惜</x:v>
      </x:c>
      <x:c r="G238" s="8" t="str">
        <x:v>“今夕复何夕，共此灯烛光。”今天也借这份珍惜敬各位：能同桌，是缘分；愿往后的来往，有真话，也有笑声。</x:v>
      </x:c>
      <x:c r="H238" s="8" t="str">
        <x:v>杜甫重逢故人，写“今夕复何夕，共此灯烛光。”。今天借这份珍惜，敬在座各位。相聚不一定要等一个多大的理由，愿意留点时间坐到一桌，就已经很好。这杯祝大家忙有所获，闲有所伴，往后的来往也总有真诚。</x:v>
      </x:c>
      <x:c r="I238" s="8" t="str">
        <x:v>To the time we make for this gathering, and to good company, honest words, and laughter in the days ahead.</x:v>
      </x:c>
      <x:c r="J238" s="8" t="str">
        <x:v>敬为相聚留出的时间，也愿往后有真话、有相伴、有笑声。</x:v>
      </x:c>
      <x:c r="K238" s="8" t="str">
        <x:v>poem-du-lamplight</x:v>
      </x:c>
      <x:c r="L238" s="8" t="str">
        <x:v>杜甫《赠卫八处士》</x:v>
      </x:c>
      <x:c r="M238" s="8" t="str">
        <x:v>今夕复何夕，共此灯烛光。</x:v>
      </x:c>
      <x:c r="N238" s="8" t="str">
        <x:v>原诗久别重逢，兼有岁月感慨；此处只借同灯相坐的珍惜，不编造二十年未见。</x:v>
      </x:c>
      <x:c r="O238" s="8" t="str">
        <x:v>夜晚小酌、好友知己、团圆相聚</x:v>
      </x:c>
      <x:c r="P238" s="8" t="str">
        <x:v>未限定</x:v>
      </x:c>
      <x:c r="Q238" s="8" t="str">
        <x:v>未限定</x:v>
      </x:c>
      <x:c r="R238" s="8" t="str">
        <x:v>引句后整理</x:v>
      </x:c>
      <x:c r="S238" s="8" t="str">
        <x:v>雅致</x:v>
      </x:c>
      <x:c r="T238" s="8" t="str">
        <x:v>我以茶代酒，心意一样。</x:v>
      </x:c>
      <x:c r="U238" s="8" t="str">
        <x:v>With tea in my cup and the same warm wishes.</x:v>
      </x:c>
      <x:c r="V238" s="8" t="str">
        <x:v>“今夕复何夕，共此灯烛光。”今天也借这份珍惜敬各位：能同桌，是缘分；愿往后的来往，有真话，也有笑声。</x:v>
      </x:c>
      <x:c r="W238" s="8" t="str">
        <x:v>杜甫重逢故人，写“今夕复何夕，共此灯烛光。”。今天借这份珍惜，敬在座各位。相聚不一定要等一个多大的理由，愿意留点时间坐到一桌，就已经很好。这杯祝大家忙有所获，闲有所伴，往后的来往也总有真诚。</x:v>
      </x:c>
      <x:c r="X238" s="8" t="str">
        <x:v>spoken</x:v>
      </x:c>
      <x:c r="Y238" s="8" t="str">
        <x:v>verse</x:v>
      </x:c>
      <x:c r="Z238" s="8" t="str"/>
      <x:c r="AA238" s="12" t="str"/>
    </x:row>
    <x:row r="239" ht="57" customHeight="1">
      <x:c r="A239" s="9" t="str">
        <x:v>verse-li-askmoon</x:v>
      </x:c>
      <x:c r="B239" s="11" t="n">
        <x:v>1</x:v>
      </x:c>
      <x:c r="C239" s="9" t="str">
        <x:v>当前推荐</x:v>
      </x:c>
      <x:c r="D239" s="9" t="str">
        <x:v>临场救急</x:v>
      </x:c>
      <x:c r="E239" s="9" t="str">
        <x:v>全桌</x:v>
      </x:c>
      <x:c r="F239" s="9" t="str">
        <x:v>好时光，愿它长一点</x:v>
      </x:c>
      <x:c r="G239" s="9" t="str">
        <x:v>“唯愿当歌对酒时，月光长照金樽里。”今天借李白这一愿：好时光长一点，知心话多一点，大家往后的日子，也亮堂一点。</x:v>
      </x:c>
      <x:c r="H239" s="9" t="str">
        <x:v>有些时候，不需要多热闹，有人同桌，有话可聊，就想把时间留得长一点。李白说“唯愿当歌对酒时，月光长照金樽里。”今天我也借这一愿敬各位：愿忙碌之外有相聚，平常日子有欢喜，好时光总有人一起记。</x:v>
      </x:c>
      <x:c r="I239" s="9" t="str">
        <x:v>May good moments last, may conversations be warm, and may we have more days worth sharing.</x:v>
      </x:c>
      <x:c r="J239" s="9" t="str">
        <x:v>愿好时光长一点，交谈暖一点，值得分享的日子多一点。</x:v>
      </x:c>
      <x:c r="K239" s="9" t="str">
        <x:v>poem-li-askmoon</x:v>
      </x:c>
      <x:c r="L239" s="9" t="str">
        <x:v>李白《把酒问月》</x:v>
      </x:c>
      <x:c r="M239" s="9" t="str">
        <x:v>唯愿当歌对酒时，月光长照金樽里。</x:v>
      </x:c>
      <x:c r="N239" s="9" t="str">
        <x:v>原诗从问月想到古今人生；取珍惜相聚的愿望，不宣称杯中真有月影。</x:v>
      </x:c>
      <x:c r="O239" s="9" t="str">
        <x:v>月色入杯、邀饮待客、夜晚小酌</x:v>
      </x:c>
      <x:c r="P239" s="9" t="str">
        <x:v>未限定</x:v>
      </x:c>
      <x:c r="Q239" s="9" t="str">
        <x:v>未限定</x:v>
      </x:c>
      <x:c r="R239" s="9" t="str">
        <x:v>引句后整理</x:v>
      </x:c>
      <x:c r="S239" s="9" t="str">
        <x:v>雅致</x:v>
      </x:c>
      <x:c r="T239" s="9" t="str">
        <x:v>我以茶代酒，心意一样。</x:v>
      </x:c>
      <x:c r="U239" s="9" t="str">
        <x:v>With tea in my cup and the same warm wishes.</x:v>
      </x:c>
      <x:c r="V239" s="9" t="str">
        <x:v>“唯愿当歌对酒时，月光长照金樽里。”今天借李白这一愿：好时光长一点，知心话多一点，大家往后的日子，也亮堂一点。</x:v>
      </x:c>
      <x:c r="W239" s="9" t="str">
        <x:v>有些时候，不需要多热闹，有人同桌，有话可聊，就想把时间留得长一点。李白说“唯愿当歌对酒时，月光长照金樽里。”今天我也借这一愿敬各位：愿忙碌之外有相聚，平常日子有欢喜，好时光总有人一起记。</x:v>
      </x:c>
      <x:c r="X239" s="9" t="str">
        <x:v>spoken</x:v>
      </x:c>
      <x:c r="Y239" s="9" t="str">
        <x:v>verse</x:v>
      </x:c>
      <x:c r="Z239" s="9" t="str"/>
      <x:c r="AA239" s="12" t="str"/>
    </x:row>
    <x:row r="240" ht="57" customHeight="1">
      <x:c r="A240" s="8" t="str">
        <x:v>verse-li-rest</x:v>
      </x:c>
      <x:c r="B240" s="10" t="n">
        <x:v>1</x:v>
      </x:c>
      <x:c r="C240" s="8" t="str">
        <x:v>当前推荐</x:v>
      </x:c>
      <x:c r="D240" s="8" t="str">
        <x:v>临场救急</x:v>
      </x:c>
      <x:c r="E240" s="8" t="str">
        <x:v>全桌</x:v>
      </x:c>
      <x:c r="F240" s="8" t="str">
        <x:v>能歇下来，说两句</x:v>
      </x:c>
      <x:c r="G240" s="8" t="str">
        <x:v>“欢言得所憩，美酒聊共挥。”这杯敬的，就是忙里能歇一歇，坐下来能说两句。愿大家事情有进展，心里有闲处。</x:v>
      </x:c>
      <x:c r="H240" s="8" t="str">
        <x:v>“欢言得所憩，美酒聊共挥。”李白写山行之后的相聚，我喜欢其中“得所憩”三个字。人总在忙，能有一席让自己歇下来，也有人愿意听几句，就很难得。今天敬各位，愿事情有进展，心里有闲处，饭桌上常有说得来的人。</x:v>
      </x:c>
      <x:c r="I240" s="8" t="str">
        <x:v>To a place to rest, people who listen, and moments of ease within our busy lives.</x:v>
      </x:c>
      <x:c r="J240" s="8" t="str">
        <x:v>敬忙碌里能歇一歇，也敬身边愿意倾听的人。</x:v>
      </x:c>
      <x:c r="K240" s="8" t="str">
        <x:v>poem-li-rest</x:v>
      </x:c>
      <x:c r="L240" s="8" t="str">
        <x:v>李白《下终南山过斛斯山人宿置酒》</x:v>
      </x:c>
      <x:c r="M240" s="8" t="str">
        <x:v>欢言得所憩，美酒聊共挥。</x:v>
      </x:c>
      <x:c r="N240" s="8" t="str">
        <x:v>憩读qì，歇息；“得所憩”后稍停，接到愿大家能歇一歇。 原诗写山行后受到款待；取能歇下来交谈的自在，不预设今日赶路、登山或饮酒量。</x:v>
      </x:c>
      <x:c r="O240" s="8" t="str">
        <x:v>邀饮待客、好友知己</x:v>
      </x:c>
      <x:c r="P240" s="8" t="str">
        <x:v>未限定</x:v>
      </x:c>
      <x:c r="Q240" s="8" t="str">
        <x:v>未限定</x:v>
      </x:c>
      <x:c r="R240" s="8" t="str">
        <x:v>引句后整理</x:v>
      </x:c>
      <x:c r="S240" s="8" t="str">
        <x:v>雅致</x:v>
      </x:c>
      <x:c r="T240" s="8" t="str">
        <x:v>我以茶代酒，心意一样。</x:v>
      </x:c>
      <x:c r="U240" s="8" t="str">
        <x:v>With tea in my cup and the same warm wishes.</x:v>
      </x:c>
      <x:c r="V240" s="8" t="str">
        <x:v>“欢言得所憩，美酒聊共挥。”这杯敬的，就是忙里能歇一歇，坐下来能说两句。愿大家事情有进展，心里有闲处。</x:v>
      </x:c>
      <x:c r="W240" s="8" t="str">
        <x:v>“欢言得所憩，美酒聊共挥。”李白写山行之后的相聚，我喜欢其中“得所憩”三个字。人总在忙，能有一席让自己歇下来，也有人愿意听几句，就很难得。今天敬各位，愿事情有进展，心里有闲处，饭桌上常有说得来的人。</x:v>
      </x:c>
      <x:c r="X240" s="8" t="str">
        <x:v>spoken</x:v>
      </x:c>
      <x:c r="Y240" s="8" t="str">
        <x:v>verse</x:v>
      </x:c>
      <x:c r="Z240" s="8" t="str"/>
      <x:c r="AA240" s="12" t="str"/>
    </x:row>
    <x:row r="241" ht="57" customHeight="1">
      <x:c r="A241" s="9" t="str">
        <x:v>verse-qian-tea</x:v>
      </x:c>
      <x:c r="B241" s="11" t="n">
        <x:v>1</x:v>
      </x:c>
      <x:c r="C241" s="9" t="str">
        <x:v>当前推荐</x:v>
      </x:c>
      <x:c r="D241" s="9" t="str">
        <x:v>临场救急</x:v>
      </x:c>
      <x:c r="E241" s="9" t="str">
        <x:v>全桌</x:v>
      </x:c>
      <x:c r="F241" s="9" t="str">
        <x:v>茶也能敬一席好时光</x:v>
      </x:c>
      <x:c r="G241" s="9" t="str">
        <x:v>“竹下忘言对紫茶，全胜羽客醉流霞。”古人茶席也能尽兴。今天杯里无论是什么，这份相聚都值得敬；祝大家心里舒展，日子有味。</x:v>
      </x:c>
      <x:c r="H241" s="9" t="str">
        <x:v>钱起写茶宴：“竹下忘言对紫茶，全胜羽客醉流霞。”可见相聚的好，不只靠杯里是什么。能同桌，能说上话，心里觉得自在，就有一席好时光。今天我敬各位，愿平常日子有滋味，忙碌之外有清闲，朋友之间有真话。</x:v>
      </x:c>
      <x:c r="I241" s="9" t="str">
        <x:v>Whatever is in our cups, good company is worth celebrating. To easy conversation and a little peace in busy days.</x:v>
      </x:c>
      <x:c r="J241" s="9" t="str">
        <x:v>无论杯中是什么，都敬相伴的人，也愿忙里有清闲。</x:v>
      </x:c>
      <x:c r="K241" s="9" t="str">
        <x:v>poem-qian-tea</x:v>
      </x:c>
      <x:c r="L241" s="9" t="str">
        <x:v>钱起《与赵莒茶宴》</x:v>
      </x:c>
      <x:c r="M241" s="9" t="str">
        <x:v>竹下忘言对紫茶，全胜羽客醉流霞。</x:v>
      </x:c>
      <x:c r="N241" s="9" t="str">
        <x:v>流霞是传说中的仙酒；取茶席有清趣，不作饮品功效比较。 原诗写茶宴的清趣；取以茶相聚也能有兴致，不比较饮品高低，也不声称有仙人。</x:v>
      </x:c>
      <x:c r="O241" s="9" t="str">
        <x:v>邀饮待客、好友知己</x:v>
      </x:c>
      <x:c r="P241" s="9" t="str">
        <x:v>未限定</x:v>
      </x:c>
      <x:c r="Q241" s="9" t="str">
        <x:v>未限定</x:v>
      </x:c>
      <x:c r="R241" s="9" t="str">
        <x:v>引句后整理</x:v>
      </x:c>
      <x:c r="S241" s="9" t="str">
        <x:v>雅致</x:v>
      </x:c>
      <x:c r="T241" s="9" t="str">
        <x:v>我以茶代酒，心意一样。</x:v>
      </x:c>
      <x:c r="U241" s="9" t="str">
        <x:v>With tea in my cup and the same warm wishes.</x:v>
      </x:c>
      <x:c r="V241" s="9" t="str">
        <x:v>“竹下忘言对紫茶，全胜羽客醉流霞。”古人茶席也能尽兴。今天杯里无论是什么，这份相聚都值得敬；祝大家心里舒展，日子有味。</x:v>
      </x:c>
      <x:c r="W241" s="9" t="str">
        <x:v>钱起写茶宴：“竹下忘言对紫茶，全胜羽客醉流霞。”可见相聚的好，不只靠杯里是什么。能同桌，能说上话，心里觉得自在，就有一席好时光。今天我敬各位，愿平常日子有滋味，忙碌之外有清闲，朋友之间有真话。</x:v>
      </x:c>
      <x:c r="X241" s="9" t="str">
        <x:v>spoken</x:v>
      </x:c>
      <x:c r="Y241" s="9" t="str">
        <x:v>verse</x:v>
      </x:c>
      <x:c r="Z241" s="9" t="str"/>
      <x:c r="AA241" s="12" t="str"/>
    </x:row>
    <x:row r="242" ht="57" customHeight="1">
      <x:c r="A242" s="8" t="str">
        <x:v>verse-zhang-autumn</x:v>
      </x:c>
      <x:c r="B242" s="10" t="n">
        <x:v>1</x:v>
      </x:c>
      <x:c r="C242" s="8" t="str">
        <x:v>当前推荐</x:v>
      </x:c>
      <x:c r="D242" s="8" t="str">
        <x:v>临场救急</x:v>
      </x:c>
      <x:c r="E242" s="8" t="str">
        <x:v>全桌</x:v>
      </x:c>
      <x:c r="F242" s="8" t="str">
        <x:v>把日子过宽一点</x:v>
      </x:c>
      <x:c r="G242" s="8" t="str">
        <x:v>“满载一船秋色，平铺十里湖光。”张孝祥连路上的停顿都看出好景致。今天借这份从容敬大家，愿做事有收获，生活也留得下兴致。</x:v>
      </x:c>
      <x:c r="H242" s="8" t="str">
        <x:v>“满载一船秋色，平铺十里湖光。”张孝祥行舟遇风，仍能写出这样的兴致。我喜欢这份从容：事情慢慢做，日子也要好好过。今天这杯敬各位，愿手头的事有进展，心里的弦不总绷紧，忙碌之外，也常有能坐下来相聚的好时候。</x:v>
      </x:c>
      <x:c r="I242" s="8" t="str">
        <x:v>To steady progress, a little room to breathe, and keeping our curiosity and joy in everyday life.</x:v>
      </x:c>
      <x:c r="J242" s="8" t="str">
        <x:v>愿做事有进展，生活有余地，日常也保有兴致。</x:v>
      </x:c>
      <x:c r="K242" s="8" t="str">
        <x:v>poem-zhang-autumn</x:v>
      </x:c>
      <x:c r="L242" s="8" t="str">
        <x:v>张孝祥《西江月·阻风山峰下》</x:v>
      </x:c>
      <x:c r="M242" s="8" t="str">
        <x:v>满载一船秋色，平铺十里湖光。</x:v>
      </x:c>
      <x:c r="N242" s="8" t="str">
        <x:v>原词行舟遇阻风仍赏秋景；借从容与发现好意，不把今天不顺视为已知经历；题有山峰／三峰写法。</x:v>
      </x:c>
      <x:c r="O242" s="8" t="str">
        <x:v>月色入杯、好友知己</x:v>
      </x:c>
      <x:c r="P242" s="8" t="str">
        <x:v>未限定</x:v>
      </x:c>
      <x:c r="Q242" s="8" t="str">
        <x:v>未限定</x:v>
      </x:c>
      <x:c r="R242" s="8" t="str">
        <x:v>引句后整理</x:v>
      </x:c>
      <x:c r="S242" s="8" t="str">
        <x:v>雅致</x:v>
      </x:c>
      <x:c r="T242" s="8" t="str">
        <x:v>我以茶代酒，心意一样。</x:v>
      </x:c>
      <x:c r="U242" s="8" t="str">
        <x:v>With tea in my cup and the same warm wishes.</x:v>
      </x:c>
      <x:c r="V242" s="8" t="str">
        <x:v>“满载一船秋色，平铺十里湖光。”张孝祥连路上的停顿都看出好景致。今天借这份从容敬大家，愿做事有收获，生活也留得下兴致。</x:v>
      </x:c>
      <x:c r="W242" s="8" t="str">
        <x:v>“满载一船秋色，平铺十里湖光。”张孝祥行舟遇风，仍能写出这样的兴致。我喜欢这份从容：事情慢慢做，日子也要好好过。今天这杯敬各位，愿手头的事有进展，心里的弦不总绷紧，忙碌之外，也常有能坐下来相聚的好时候。</x:v>
      </x:c>
      <x:c r="X242" s="8" t="str">
        <x:v>spoken</x:v>
      </x:c>
      <x:c r="Y242" s="8" t="str">
        <x:v>verse</x:v>
      </x:c>
      <x:c r="Z242" s="8" t="str"/>
      <x:c r="AA242" s="12" t="str"/>
    </x:row>
    <x:row r="243" ht="72" customHeight="1">
      <x:c r="A243" s="9" t="str">
        <x:v>host-01</x:v>
      </x:c>
      <x:c r="B243" s="11" t="n">
        <x:v>1</x:v>
      </x:c>
      <x:c r="C243" s="9" t="str">
        <x:v>当前推荐</x:v>
      </x:c>
      <x:c r="D243" s="9" t="str">
        <x:v>我是主人</x:v>
      </x:c>
      <x:c r="E243" s="9" t="str">
        <x:v>全桌</x:v>
      </x:c>
      <x:c r="F243" s="9" t="str">
        <x:v>我有嘉宾</x:v>
      </x:c>
      <x:c r="G243" s="9" t="str">
        <x:v>我有嘉宾，鼓瑟吹笙；今天以一席相聚，谢大家拨冗而来。
借这一杯，敬大家。</x:v>
      </x:c>
      <x:c r="H243" s="9" t="str">
        <x:v>《诗经》说“我有嘉宾，鼓瑟吹笙”。今天不敢说有古人的盛宴，却有一份认真待客的心。感谢大家拨冗而来，愿这一席吃得舒心、聊得尽兴；今日相聚有欢，来日往来有情。
借这一杯，敬大家。</x:v>
      </x:c>
      <x:c r="I243" s="9" t="str">
        <x:v>Welcome, and thank you for making time to be here. May we enjoy good food and good conversation.</x:v>
      </x:c>
      <x:c r="J243" s="9" t="str">
        <x:v>欢迎大家，也感谢拨冗而来；愿饭菜可口，交谈愉快。</x:v>
      </x:c>
      <x:c r="K243" s="9" t="str">
        <x:v>luming</x:v>
      </x:c>
      <x:c r="L243" s="9" t="str">
        <x:v>《诗经·小雅·鹿鸣》</x:v>
      </x:c>
      <x:c r="M243" s="9" t="str">
        <x:v>我有嘉宾，鼓瑟吹笙。</x:v>
      </x:c>
      <x:c r="N243" s="9" t="str">
        <x:v>主人或明确受托迎宾者使用，普通来宾请选致谢。</x:v>
      </x:c>
      <x:c r="O243" s="9" t="str">
        <x:v>未限定</x:v>
      </x:c>
      <x:c r="P243" s="9" t="str">
        <x:v>未限定</x:v>
      </x:c>
      <x:c r="Q243" s="9" t="str">
        <x:v>未限定</x:v>
      </x:c>
      <x:c r="R243" s="9" t="str">
        <x:v>引句后整理</x:v>
      </x:c>
      <x:c r="S243" s="9" t="str">
        <x:v>雅致</x:v>
      </x:c>
      <x:c r="T243" s="9" t="str"/>
      <x:c r="U243" s="9" t="str"/>
      <x:c r="V243" s="9" t="str">
        <x:v>我有嘉宾，鼓瑟吹笙；今天以一席相聚，谢大家拨冗而来。</x:v>
      </x:c>
      <x:c r="W243" s="9" t="str">
        <x:v>《诗经》说“我有嘉宾，鼓瑟吹笙”。今天不敢说有古人的盛宴，却有一份认真待客的心。感谢大家拨冗而来，愿这一席吃得舒心、聊得尽兴；今日相聚有欢，来日往来有情。</x:v>
      </x:c>
      <x:c r="X243" s="9" t="str"/>
      <x:c r="Y243" s="9" t="str"/>
      <x:c r="Z243" s="9" t="str"/>
      <x:c r="AA243" s="12" t="str"/>
    </x:row>
    <x:row r="244" ht="57" customHeight="1">
      <x:c r="A244" s="8" t="str">
        <x:v>host-02</x:v>
      </x:c>
      <x:c r="B244" s="10" t="n">
        <x:v>1</x:v>
      </x:c>
      <x:c r="C244" s="8" t="str">
        <x:v>当前推荐</x:v>
      </x:c>
      <x:c r="D244" s="8" t="str">
        <x:v>我是主人</x:v>
      </x:c>
      <x:c r="E244" s="8" t="str">
        <x:v>全桌</x:v>
      </x:c>
      <x:c r="F244" s="8" t="str">
        <x:v>待客贵在心</x:v>
      </x:c>
      <x:c r="G244" s="8" t="str">
        <x:v>“我有嘉宾”，便是一席好时光；愿大家宾至如归，尽兴而返。
借这一杯，敬大家。</x:v>
      </x:c>
      <x:c r="H244" s="8" t="str">
        <x:v>“我有嘉宾”，便是一席好时光。今天把感谢放在杯中，把欢迎放在席上。愿大家不拘束、不见外，吃得合意，聊得开怀；来时有期待，回去有余欢。
借这一杯，敬大家。</x:v>
      </x:c>
      <x:c r="I244" s="8" t="str">
        <x:v>Make yourselves at home. Here’s to a welcoming table and a happy gathering.</x:v>
      </x:c>
      <x:c r="J244" s="8" t="str">
        <x:v>请大家自在一些，敬这一席温暖相聚。</x:v>
      </x:c>
      <x:c r="K244" s="8" t="str">
        <x:v>luming</x:v>
      </x:c>
      <x:c r="L244" s="8" t="str">
        <x:v>《诗经·小雅·鹿鸣》</x:v>
      </x:c>
      <x:c r="M244" s="8" t="str">
        <x:v>我有嘉宾，鼓瑟吹笙。</x:v>
      </x:c>
      <x:c r="N244" s="8" t="str">
        <x:v>主人欢迎全桌，避免冒用主办机构身份。</x:v>
      </x:c>
      <x:c r="O244" s="8" t="str">
        <x:v>未限定</x:v>
      </x:c>
      <x:c r="P244" s="8" t="str">
        <x:v>未限定</x:v>
      </x:c>
      <x:c r="Q244" s="8" t="str">
        <x:v>未限定</x:v>
      </x:c>
      <x:c r="R244" s="8" t="str">
        <x:v>引句后整理</x:v>
      </x:c>
      <x:c r="S244" s="8" t="str">
        <x:v>雅致</x:v>
      </x:c>
      <x:c r="T244" s="8" t="str"/>
      <x:c r="U244" s="8" t="str"/>
      <x:c r="V244" s="8" t="str">
        <x:v>“我有嘉宾”，便是一席好时光；愿大家宾至如归，尽兴而返。</x:v>
      </x:c>
      <x:c r="W244" s="8" t="str">
        <x:v>“我有嘉宾”，便是一席好时光。今天把感谢放在杯中，把欢迎放在席上。愿大家不拘束、不见外，吃得合意，聊得开怀；来时有期待，回去有余欢。</x:v>
      </x:c>
      <x:c r="X244" s="8" t="str"/>
      <x:c r="Y244" s="8" t="str"/>
      <x:c r="Z244" s="8" t="str"/>
      <x:c r="AA244" s="12" t="str"/>
    </x:row>
    <x:row r="245" ht="57" customHeight="1">
      <x:c r="A245" s="9" t="str">
        <x:v>host-03</x:v>
      </x:c>
      <x:c r="B245" s="11" t="n">
        <x:v>1</x:v>
      </x:c>
      <x:c r="C245" s="9" t="str">
        <x:v>当前推荐</x:v>
      </x:c>
      <x:c r="D245" s="9" t="str">
        <x:v>我是主人</x:v>
      </x:c>
      <x:c r="E245" s="9" t="str">
        <x:v>全桌</x:v>
      </x:c>
      <x:c r="F245" s="9" t="str">
        <x:v>菜有家常，心有诚意</x:v>
      </x:c>
      <x:c r="G245" s="9" t="str">
        <x:v>菜有家常，心有诚意；欢迎大家，愿这一席有味，也有欢。
借这一杯，敬大家。</x:v>
      </x:c>
      <x:c r="H245" s="9" t="str">
        <x:v>今天做东，先把欢迎送到：菜有家常，心有诚意。愿大家把客气放一放，把筷子拿起来；一席吃得有味，一晚聊得有欢。借这一杯，谢大家赏光，也盼往后常来常往。
借这一杯，敬大家。</x:v>
      </x:c>
      <x:c r="I245" s="9" t="str">
        <x:v>Welcome to the table. Please enjoy the food, the conversation, and the company.</x:v>
      </x:c>
      <x:c r="J245" s="9" t="str">
        <x:v>欢迎入席，请自在享用饭菜、交谈与相聚。</x:v>
      </x:c>
      <x:c r="K245" s="9" t="str">
        <x:v>rhythm</x:v>
      </x:c>
      <x:c r="L245" s="9" t="str">
        <x:v>把话写给耳朵听</x:v>
      </x:c>
      <x:c r="M245" s="9" t="str"/>
      <x:c r="N245" s="9" t="str">
        <x:v>“做东”需确实是主人。</x:v>
      </x:c>
      <x:c r="O245" s="9" t="str">
        <x:v>未限定</x:v>
      </x:c>
      <x:c r="P245" s="9" t="str">
        <x:v>未限定</x:v>
      </x:c>
      <x:c r="Q245" s="9" t="str">
        <x:v>未限定</x:v>
      </x:c>
      <x:c r="R245" s="9" t="str">
        <x:v>依据表达方法整理</x:v>
      </x:c>
      <x:c r="S245" s="9" t="str">
        <x:v>诙谐</x:v>
      </x:c>
      <x:c r="T245" s="9" t="str"/>
      <x:c r="U245" s="9" t="str"/>
      <x:c r="V245" s="9" t="str">
        <x:v>菜有家常，心有诚意；欢迎大家，愿这一席有味，也有欢。</x:v>
      </x:c>
      <x:c r="W245" s="9" t="str">
        <x:v>今天做东，先把欢迎送到：菜有家常，心有诚意。愿大家把客气放一放，把筷子拿起来；一席吃得有味，一晚聊得有欢。借这一杯，谢大家赏光，也盼往后常来常往。</x:v>
      </x:c>
      <x:c r="X245" s="9" t="str"/>
      <x:c r="Y245" s="9" t="str"/>
      <x:c r="Z245" s="9" t="str"/>
      <x:c r="AA245" s="12" t="str"/>
    </x:row>
    <x:row r="246" ht="72" customHeight="1">
      <x:c r="A246" s="8" t="str">
        <x:v>r04-ci-03-2</x:v>
      </x:c>
      <x:c r="B246" s="10" t="n">
        <x:v>1</x:v>
      </x:c>
      <x:c r="C246" s="8" t="str">
        <x:v>当前推荐</x:v>
      </x:c>
      <x:c r="D246" s="8" t="str">
        <x:v>我是主人</x:v>
      </x:c>
      <x:c r="E246" s="8" t="str">
        <x:v>全桌</x:v>
      </x:c>
      <x:c r="F246" s="8" t="str">
        <x:v>好时光慢一点 · 再说一句</x:v>
      </x:c>
      <x:c r="G246" s="8" t="str">
        <x:v>今天各位来了，我也借一句词留一份好心情。饭慢慢吃，话慢慢聊，饮多少随意，高兴最要紧。借诗词中的一句：“为君持酒劝斜阳，且向花间留晚照。”</x:v>
      </x:c>
      <x:c r="H246" s="8" t="str">
        <x:v>今天各位来了，我也借一句词留一份好心情。饭慢慢吃，话慢慢聊，饮多少随意，高兴最要紧。
宋祁写过：“为君持酒劝斜阳，且向花间留晚照。”欢迎大家，愿吃得舒心，聊得开心，下回还想再来。</x:v>
      </x:c>
      <x:c r="I246" s="8" t="str">
        <x:v>To making good moments last by giving one another our attention. Here is to another good day together.</x:v>
      </x:c>
      <x:c r="J246" s="8" t="str">
        <x:v>愿用专心相伴，让好时光更值得回味。也盼再有同聚的好日子。</x:v>
      </x:c>
      <x:c r="K246" s="8" t="str">
        <x:v>r04-ci-03</x:v>
      </x:c>
      <x:c r="L246" s="8" t="str">
        <x:v>宋祁《玉楼春·东城渐觉风光好》</x:v>
      </x:c>
      <x:c r="M246" s="8" t="str">
        <x:v>为君持酒劝斜阳，且向花间留晚照。</x:v>
      </x:c>
      <x:c r="N246" s="8" t="str">
        <x:v>春游惜景，劝留斜阳是想象；不让客人因挽留而勉强饮酒。</x:v>
      </x:c>
      <x:c r="O246" s="8" t="str">
        <x:v>邀饮待客</x:v>
      </x:c>
      <x:c r="P246" s="8" t="str">
        <x:v>未限定</x:v>
      </x:c>
      <x:c r="Q246" s="8" t="str">
        <x:v>未限定</x:v>
      </x:c>
      <x:c r="R246" s="8" t="str">
        <x:v>引句后整理</x:v>
      </x:c>
      <x:c r="S246" s="8" t="str">
        <x:v>雅致</x:v>
      </x:c>
      <x:c r="T246" s="8" t="str">
        <x:v>我以茶代酒，心意一样真。</x:v>
      </x:c>
      <x:c r="U246" s="8" t="str">
        <x:v>With tea in my cup and the same warm wishes.</x:v>
      </x:c>
      <x:c r="V246" s="8" t="str">
        <x:v>今天各位来了，我也借一句词留一份好心情。饭慢慢吃，话慢慢聊，饮多少随意，高兴最要紧。借诗词中的一句：“为君持酒劝斜阳，且向花间留晚照。”</x:v>
      </x:c>
      <x:c r="W246" s="8" t="str">
        <x:v>今天各位来了，我也借一句词留一份好心情。饭慢慢吃，话慢慢聊，饮多少随意，高兴最要紧。
宋祁写过：“为君持酒劝斜阳，且向花间留晚照。”欢迎大家，愿吃得舒心，聊得开心，下回还想再来。</x:v>
      </x:c>
      <x:c r="X246" s="8" t="str">
        <x:v>spoken</x:v>
      </x:c>
      <x:c r="Y246" s="8" t="str">
        <x:v>verse-2</x:v>
      </x:c>
      <x:c r="Z246" s="8" t="str"/>
      <x:c r="AA246" s="12" t="str"/>
    </x:row>
    <x:row r="247" ht="72" customHeight="1">
      <x:c r="A247" s="9" t="str">
        <x:v>r04-ci-09-2</x:v>
      </x:c>
      <x:c r="B247" s="11" t="n">
        <x:v>1</x:v>
      </x:c>
      <x:c r="C247" s="9" t="str">
        <x:v>当前推荐</x:v>
      </x:c>
      <x:c r="D247" s="9" t="str">
        <x:v>我是主人</x:v>
      </x:c>
      <x:c r="E247" s="9" t="str">
        <x:v>全桌</x:v>
      </x:c>
      <x:c r="F247" s="9" t="str">
        <x:v>一杯茶也有厚意 · 再说一句</x:v>
      </x:c>
      <x:c r="G247" s="9" t="str">
        <x:v>古人路上求茶，咱们今天把茶备好、把饭端上。各位坐得自在就好，杯里什么都不妨碍这一桌的心意。借诗词中的一句：“日高人渴漫思茶，敲门试问野人家。”</x:v>
      </x:c>
      <x:c r="H247" s="9" t="str">
        <x:v>古人路上求茶，咱们今天把茶备好、把饭端上。各位坐得自在就好，杯里什么都不妨碍这一桌的心意。
苏轼写过：“日高人渴漫思茶，敲门试问野人家。”欢迎大家，愿吃得舒心，聊得开心，下回还想再来。</x:v>
      </x:c>
      <x:c r="I247" s="9" t="str">
        <x:v>To a cup offered with care and a welcome that feels sincere. Here is to another good day together.</x:v>
      </x:c>
      <x:c r="J247" s="9" t="str">
        <x:v>敬一杯体贴，也谢真诚款待。也盼再有同聚的好日子。</x:v>
      </x:c>
      <x:c r="K247" s="9" t="str">
        <x:v>r04-ci-09</x:v>
      </x:c>
      <x:c r="L247" s="9" t="str">
        <x:v>苏轼《浣溪沙·簌簌衣巾落枣花》</x:v>
      </x:c>
      <x:c r="M247" s="9" t="str">
        <x:v>日高人渴漫思茶，敲门试问野人家。</x:v>
      </x:c>
      <x:c r="N247" s="9" t="str">
        <x:v>乡间行路渴而求茶；不编造主人曾收留用户，茶与酒均可。</x:v>
      </x:c>
      <x:c r="O247" s="9" t="str">
        <x:v>邀饮待客</x:v>
      </x:c>
      <x:c r="P247" s="9" t="str">
        <x:v>未限定</x:v>
      </x:c>
      <x:c r="Q247" s="9" t="str">
        <x:v>未限定</x:v>
      </x:c>
      <x:c r="R247" s="9" t="str">
        <x:v>引句后整理</x:v>
      </x:c>
      <x:c r="S247" s="9" t="str">
        <x:v>雅致</x:v>
      </x:c>
      <x:c r="T247" s="9" t="str">
        <x:v>我以茶代酒，心意一样真。</x:v>
      </x:c>
      <x:c r="U247" s="9" t="str">
        <x:v>With tea in my cup and the same warm wishes.</x:v>
      </x:c>
      <x:c r="V247" s="9" t="str">
        <x:v>古人路上求茶，咱们今天把茶备好、把饭端上。各位坐得自在就好，杯里什么都不妨碍这一桌的心意。借诗词中的一句：“日高人渴漫思茶，敲门试问野人家。”</x:v>
      </x:c>
      <x:c r="W247" s="9" t="str">
        <x:v>古人路上求茶，咱们今天把茶备好、把饭端上。各位坐得自在就好，杯里什么都不妨碍这一桌的心意。
苏轼写过：“日高人渴漫思茶，敲门试问野人家。”欢迎大家，愿吃得舒心，聊得开心，下回还想再来。</x:v>
      </x:c>
      <x:c r="X247" s="9" t="str">
        <x:v>spoken</x:v>
      </x:c>
      <x:c r="Y247" s="9" t="str">
        <x:v>verse-0</x:v>
      </x:c>
      <x:c r="Z247" s="9" t="str"/>
      <x:c r="AA247" s="12" t="str"/>
    </x:row>
    <x:row r="248" ht="57" customHeight="1">
      <x:c r="A248" s="8" t="str">
        <x:v>r04-shi-1074-1</x:v>
      </x:c>
      <x:c r="B248" s="10" t="n">
        <x:v>1</x:v>
      </x:c>
      <x:c r="C248" s="8" t="str">
        <x:v>当前推荐</x:v>
      </x:c>
      <x:c r="D248" s="8" t="str">
        <x:v>我是主人</x:v>
      </x:c>
      <x:c r="E248" s="8" t="str">
        <x:v>全桌</x:v>
      </x:c>
      <x:c r="F248" s="8" t="str">
        <x:v>家常饭有厚意</x:v>
      </x:c>
      <x:c r="G248" s="8" t="str">
        <x:v>《诗经》里有一句：“幡幡瓠叶，采之亨之。”一把菜也能写成待客的诗，难得的是愿意招呼人的心。今天家常饭，大家自在吃，咱们把话慢慢聊。</x:v>
      </x:c>
      <x:c r="H248" s="8" t="str">
        <x:v>《诗经》里有一句：“幡幡瓠叶，采之亨之。”一把菜也能写成待客的诗，难得的是愿意招呼人的心。今天家常饭，大家自在吃，咱们把话慢慢聊。
欢迎大家，愿吃得舒心，聊得开心，下回还想再来。</x:v>
      </x:c>
      <x:c r="I248" s="8" t="str">
        <x:v>To simple meals made special by the thought behind them.</x:v>
      </x:c>
      <x:c r="J248" s="8" t="str">
        <x:v>敬家常饭背后的那份用心。</x:v>
      </x:c>
      <x:c r="K248" s="8" t="str">
        <x:v>r04-shi-1074</x:v>
      </x:c>
      <x:c r="L248" s="8" t="str">
        <x:v>《诗经·瓠叶》</x:v>
      </x:c>
      <x:c r="M248" s="8" t="str">
        <x:v>幡幡瓠叶，采之亨之。</x:v>
      </x:c>
      <x:c r="N248" s="8" t="str">
        <x:v>宴饮诗，有俭薄不废礼与燕饮等解；亨通烹，借家常待客的诚意。</x:v>
      </x:c>
      <x:c r="O248" s="8" t="str">
        <x:v>邀饮待客</x:v>
      </x:c>
      <x:c r="P248" s="8" t="str">
        <x:v>未限定</x:v>
      </x:c>
      <x:c r="Q248" s="8" t="str">
        <x:v>未限定</x:v>
      </x:c>
      <x:c r="R248" s="8" t="str">
        <x:v>引句后整理</x:v>
      </x:c>
      <x:c r="S248" s="8" t="str">
        <x:v>雅致</x:v>
      </x:c>
      <x:c r="T248" s="8" t="str">
        <x:v>我以茶代酒，心意一样真。</x:v>
      </x:c>
      <x:c r="U248" s="8" t="str">
        <x:v>With tea in my cup and the same warm wishes.</x:v>
      </x:c>
      <x:c r="V248" s="8" t="str">
        <x:v>《诗经》里有一句：“幡幡瓠叶，采之亨之。”一把菜也能写成待客的诗，难得的是愿意招呼人的心。今天家常饭，大家自在吃，咱们把话慢慢聊。</x:v>
      </x:c>
      <x:c r="W248" s="8" t="str">
        <x:v>《诗经》里有一句：“幡幡瓠叶，采之亨之。”一把菜也能写成待客的诗，难得的是愿意招呼人的心。今天家常饭，大家自在吃，咱们把话慢慢聊。
欢迎大家，愿吃得舒心，聊得开心，下回还想再来。</x:v>
      </x:c>
      <x:c r="X248" s="8" t="str">
        <x:v>spoken</x:v>
      </x:c>
      <x:c r="Y248" s="8" t="str">
        <x:v>verse-0</x:v>
      </x:c>
      <x:c r="Z248" s="8" t="str"/>
      <x:c r="AA248" s="12" t="str"/>
    </x:row>
    <x:row r="249" ht="57" customHeight="1">
      <x:c r="A249" s="9" t="str">
        <x:v>r04-shi-469-1</x:v>
      </x:c>
      <x:c r="B249" s="11" t="n">
        <x:v>1</x:v>
      </x:c>
      <x:c r="C249" s="9" t="str">
        <x:v>当前推荐</x:v>
      </x:c>
      <x:c r="D249" s="9" t="str">
        <x:v>我是主人</x:v>
      </x:c>
      <x:c r="E249" s="9" t="str">
        <x:v>全桌</x:v>
      </x:c>
      <x:c r="F249" s="9" t="str">
        <x:v>待客的一份心</x:v>
      </x:c>
      <x:c r="G249" s="9" t="str">
        <x:v>《诗经·有杕之杜》写道：“中心好之，曷饮食之。”古人也发愁，喜欢一位客人，该拿什么好好招待。今天先把热菜端上，把座位坐暖，大家自在就好。</x:v>
      </x:c>
      <x:c r="H249" s="9" t="str">
        <x:v>《诗经·有杕之杜》写道：“中心好之，曷饮食之。”古人也发愁，喜欢一位客人，该拿什么好好招待。今天先把热菜端上，把座位坐暖，大家自在就好。
欢迎大家，愿吃得舒心，聊得开心，下回还想再来。</x:v>
      </x:c>
      <x:c r="I249" s="9" t="str">
        <x:v>To a thoughtful welcome, however simple the meal may be.</x:v>
      </x:c>
      <x:c r="J249" s="9" t="str">
        <x:v>敬一份用心的欢迎，饭菜家常也温暖。</x:v>
      </x:c>
      <x:c r="K249" s="9" t="str">
        <x:v>r04-shi-469</x:v>
      </x:c>
      <x:c r="L249" s="9" t="str">
        <x:v>《诗经·有杕之杜》</x:v>
      </x:c>
      <x:c r="M249" s="9" t="str">
        <x:v>中心好之，曷饮食之。</x:v>
      </x:c>
      <x:c r="N249" s="9" t="str">
        <x:v>求贤、求食、求爱诸说并存；借款待心意，不把一种解释说成定论。</x:v>
      </x:c>
      <x:c r="O249" s="9" t="str">
        <x:v>邀饮待客</x:v>
      </x:c>
      <x:c r="P249" s="9" t="str">
        <x:v>未限定</x:v>
      </x:c>
      <x:c r="Q249" s="9" t="str">
        <x:v>未限定</x:v>
      </x:c>
      <x:c r="R249" s="9" t="str">
        <x:v>引句后整理</x:v>
      </x:c>
      <x:c r="S249" s="9" t="str">
        <x:v>雅致</x:v>
      </x:c>
      <x:c r="T249" s="9" t="str">
        <x:v>我以茶代酒，心意一样真。</x:v>
      </x:c>
      <x:c r="U249" s="9" t="str">
        <x:v>With tea in my cup and the same warm wishes.</x:v>
      </x:c>
      <x:c r="V249" s="9" t="str">
        <x:v>《诗经·有杕之杜》写道：“中心好之，曷饮食之。”古人也发愁，喜欢一位客人，该拿什么好好招待。今天先把热菜端上，把座位坐暖，大家自在就好。</x:v>
      </x:c>
      <x:c r="W249" s="9" t="str">
        <x:v>《诗经·有杕之杜》写道：“中心好之，曷饮食之。”古人也发愁，喜欢一位客人，该拿什么好好招待。今天先把热菜端上，把座位坐暖，大家自在就好。
欢迎大家，愿吃得舒心，聊得开心，下回还想再来。</x:v>
      </x:c>
      <x:c r="X249" s="9" t="str">
        <x:v>spoken</x:v>
      </x:c>
      <x:c r="Y249" s="9" t="str">
        <x:v>verse-3</x:v>
      </x:c>
      <x:c r="Z249" s="9" t="str"/>
      <x:c r="AA249" s="12" t="str"/>
    </x:row>
    <x:row r="250" ht="57" customHeight="1">
      <x:c r="A250" s="8" t="str">
        <x:v>r04-shi-683-1</x:v>
      </x:c>
      <x:c r="B250" s="10" t="n">
        <x:v>1</x:v>
      </x:c>
      <x:c r="C250" s="8" t="str">
        <x:v>当前推荐</x:v>
      </x:c>
      <x:c r="D250" s="8" t="str">
        <x:v>我是主人</x:v>
      </x:c>
      <x:c r="E250" s="8" t="str">
        <x:v>全桌</x:v>
      </x:c>
      <x:c r="F250" s="8" t="str">
        <x:v>好饭不必客气</x:v>
      </x:c>
      <x:c r="G250" s="8" t="str">
        <x:v>《诗经》里有一句：“物其多矣，惟其嘉矣！”好菜要趁热，好话不必绕。这杯欢迎大家，菜喜欢哪样就夹哪样，话想到哪儿就聊到哪儿。</x:v>
      </x:c>
      <x:c r="H250" s="8" t="str">
        <x:v>《诗经》里有一句：“物其多矣，惟其嘉矣！”好菜要趁热，好话不必绕。这杯欢迎大家，菜喜欢哪样就夹哪样，话想到哪儿就聊到哪儿。
欢迎大家，愿吃得舒心，聊得开心，下回还想再来。</x:v>
      </x:c>
      <x:c r="I250" s="8" t="str">
        <x:v>To good food, easy conversation, and the people who prepared this table.</x:v>
      </x:c>
      <x:c r="J250" s="8" t="str">
        <x:v>敬好饭、好话，也谢为这一桌张罗的人。</x:v>
      </x:c>
      <x:c r="K250" s="8" t="str">
        <x:v>r04-shi-683</x:v>
      </x:c>
      <x:c r="L250" s="8" t="str">
        <x:v>《诗经·鱼丽》</x:v>
      </x:c>
      <x:c r="M250" s="8" t="str">
        <x:v>物其多矣，惟其嘉矣！</x:v>
      </x:c>
      <x:c r="N250" s="8" t="str">
        <x:v>贵族宴飨之歌；借食物丰足、相聚愉快，不赞奢侈排场。</x:v>
      </x:c>
      <x:c r="O250" s="8" t="str">
        <x:v>邀饮待客</x:v>
      </x:c>
      <x:c r="P250" s="8" t="str">
        <x:v>未限定</x:v>
      </x:c>
      <x:c r="Q250" s="8" t="str">
        <x:v>未限定</x:v>
      </x:c>
      <x:c r="R250" s="8" t="str">
        <x:v>引句后整理</x:v>
      </x:c>
      <x:c r="S250" s="8" t="str">
        <x:v>雅致</x:v>
      </x:c>
      <x:c r="T250" s="8" t="str">
        <x:v>我以茶代酒，心意一样真。</x:v>
      </x:c>
      <x:c r="U250" s="8" t="str">
        <x:v>With tea in my cup and the same warm wishes.</x:v>
      </x:c>
      <x:c r="V250" s="8" t="str">
        <x:v>《诗经》里有一句：“物其多矣，惟其嘉矣！”好菜要趁热，好话不必绕。这杯欢迎大家，菜喜欢哪样就夹哪样，话想到哪儿就聊到哪儿。</x:v>
      </x:c>
      <x:c r="W250" s="8" t="str">
        <x:v>《诗经》里有一句：“物其多矣，惟其嘉矣！”好菜要趁热，好话不必绕。这杯欢迎大家，菜喜欢哪样就夹哪样，话想到哪儿就聊到哪儿。
欢迎大家，愿吃得舒心，聊得开心，下回还想再来。</x:v>
      </x:c>
      <x:c r="X250" s="8" t="str">
        <x:v>spoken</x:v>
      </x:c>
      <x:c r="Y250" s="8" t="str">
        <x:v>verse-0</x:v>
      </x:c>
      <x:c r="Z250" s="8" t="str"/>
      <x:c r="AA250" s="12" t="str"/>
    </x:row>
    <x:row r="251" ht="57" customHeight="1">
      <x:c r="A251" s="9" t="str">
        <x:v>r04-shi-687-1</x:v>
      </x:c>
      <x:c r="B251" s="11" t="n">
        <x:v>1</x:v>
      </x:c>
      <x:c r="C251" s="9" t="str">
        <x:v>当前推荐</x:v>
      </x:c>
      <x:c r="D251" s="9" t="str">
        <x:v>我是主人</x:v>
      </x:c>
      <x:c r="E251" s="9" t="str">
        <x:v>全桌</x:v>
      </x:c>
      <x:c r="F251" s="9" t="str">
        <x:v>有客才有热闹</x:v>
      </x:c>
      <x:c r="G251" s="9" t="str">
        <x:v>《诗经·南有嘉鱼》写道：“君子有酒，嘉宾式燕以乐。”有客人，才有这一桌的热闹。今天饮什么、饮多少，都随各位；愿大家坐得自在，回去心里还暖。</x:v>
      </x:c>
      <x:c r="H251" s="9" t="str">
        <x:v>《诗经·南有嘉鱼》写道：“君子有酒，嘉宾式燕以乐。”有客人，才有这一桌的热闹。今天饮什么、饮多少，都随各位；愿大家坐得自在，回去心里还暖。
欢迎大家，愿吃得舒心，聊得开心，下回还想再来。</x:v>
      </x:c>
      <x:c r="I251" s="9" t="str">
        <x:v>To guests who turn an ordinary meal into a happy gathering.</x:v>
      </x:c>
      <x:c r="J251" s="9" t="str">
        <x:v>敬把家常饭变成好相聚的客人。</x:v>
      </x:c>
      <x:c r="K251" s="9" t="str">
        <x:v>r04-shi-687</x:v>
      </x:c>
      <x:c r="L251" s="9" t="str">
        <x:v>《诗经·南有嘉鱼》</x:v>
      </x:c>
      <x:c r="M251" s="9" t="str">
        <x:v>君子有酒，嘉宾式燕以乐。</x:v>
      </x:c>
      <x:c r="N251" s="9" t="str">
        <x:v>宾主宴饮相乐；仅借相聚之乐，不要求客人饮酒。</x:v>
      </x:c>
      <x:c r="O251" s="9" t="str">
        <x:v>邀饮待客</x:v>
      </x:c>
      <x:c r="P251" s="9" t="str">
        <x:v>未限定</x:v>
      </x:c>
      <x:c r="Q251" s="9" t="str">
        <x:v>未限定</x:v>
      </x:c>
      <x:c r="R251" s="9" t="str">
        <x:v>引句后整理</x:v>
      </x:c>
      <x:c r="S251" s="9" t="str">
        <x:v>雅致</x:v>
      </x:c>
      <x:c r="T251" s="9" t="str">
        <x:v>我以茶代酒，心意一样真。</x:v>
      </x:c>
      <x:c r="U251" s="9" t="str">
        <x:v>With tea in my cup and the same warm wishes.</x:v>
      </x:c>
      <x:c r="V251" s="9" t="str">
        <x:v>《诗经·南有嘉鱼》写道：“君子有酒，嘉宾式燕以乐。”有客人，才有这一桌的热闹。今天饮什么、饮多少，都随各位；愿大家坐得自在，回去心里还暖。</x:v>
      </x:c>
      <x:c r="W251" s="9" t="str">
        <x:v>《诗经·南有嘉鱼》写道：“君子有酒，嘉宾式燕以乐。”有客人，才有这一桌的热闹。今天饮什么、饮多少，都随各位；愿大家坐得自在，回去心里还暖。
欢迎大家，愿吃得舒心，聊得开心，下回还想再来。</x:v>
      </x:c>
      <x:c r="X251" s="9" t="str">
        <x:v>spoken</x:v>
      </x:c>
      <x:c r="Y251" s="9" t="str">
        <x:v>verse-1</x:v>
      </x:c>
      <x:c r="Z251" s="9" t="str"/>
      <x:c r="AA251" s="12" t="str"/>
    </x:row>
    <x:row r="252" ht="57" customHeight="1">
      <x:c r="A252" s="8" t="str">
        <x:v>r04-shi-706-1</x:v>
      </x:c>
      <x:c r="B252" s="10" t="n">
        <x:v>1</x:v>
      </x:c>
      <x:c r="C252" s="8" t="str">
        <x:v>当前推荐</x:v>
      </x:c>
      <x:c r="D252" s="8" t="str">
        <x:v>我是主人</x:v>
      </x:c>
      <x:c r="E252" s="8" t="str">
        <x:v>全桌</x:v>
      </x:c>
      <x:c r="F252" s="8" t="str">
        <x:v>客人来了就高兴</x:v>
      </x:c>
      <x:c r="G252" s="8" t="str">
        <x:v>借《诗经》的一句：“我有嘉宾，中心喜之。”这句说得很直白：客人来了，心里高兴。今天见到大家，我也是这个意思。饭菜在桌，欢迎在心，别拘束。</x:v>
      </x:c>
      <x:c r="H252" s="8" t="str">
        <x:v>借《诗经》的一句：“我有嘉宾，中心喜之。”这句说得很直白：客人来了，心里高兴。今天见到大家，我也是这个意思。饭菜在桌，欢迎在心，别拘束。
欢迎大家，愿吃得舒心，聊得开心，下回还想再来。</x:v>
      </x:c>
      <x:c r="I252" s="8" t="str">
        <x:v>To the genuine pleasure of welcoming you to this table.</x:v>
      </x:c>
      <x:c r="J252" s="8" t="str">
        <x:v>真心欢迎你来到这一桌。</x:v>
      </x:c>
      <x:c r="K252" s="8" t="str">
        <x:v>r04-shi-706</x:v>
      </x:c>
      <x:c r="L252" s="8" t="str">
        <x:v>《诗经·彤弓》</x:v>
      </x:c>
      <x:c r="M252" s="8" t="str">
        <x:v>我有嘉宾，中心喜之。</x:v>
      </x:c>
      <x:c r="N252" s="8" t="str">
        <x:v>原为天子赐弓设宴；仅取欢迎嘉宾，不把主人写成君王。</x:v>
      </x:c>
      <x:c r="O252" s="8" t="str">
        <x:v>邀饮待客</x:v>
      </x:c>
      <x:c r="P252" s="8" t="str">
        <x:v>未限定</x:v>
      </x:c>
      <x:c r="Q252" s="8" t="str">
        <x:v>未限定</x:v>
      </x:c>
      <x:c r="R252" s="8" t="str">
        <x:v>引句后整理</x:v>
      </x:c>
      <x:c r="S252" s="8" t="str">
        <x:v>雅致</x:v>
      </x:c>
      <x:c r="T252" s="8" t="str">
        <x:v>我以茶代酒，心意一样真。</x:v>
      </x:c>
      <x:c r="U252" s="8" t="str">
        <x:v>With tea in my cup and the same warm wishes.</x:v>
      </x:c>
      <x:c r="V252" s="8" t="str">
        <x:v>借《诗经》的一句：“我有嘉宾，中心喜之。”这句说得很直白：客人来了，心里高兴。今天见到大家，我也是这个意思。饭菜在桌，欢迎在心，别拘束。</x:v>
      </x:c>
      <x:c r="W252" s="8" t="str">
        <x:v>借《诗经》的一句：“我有嘉宾，中心喜之。”这句说得很直白：客人来了，心里高兴。今天见到大家，我也是这个意思。饭菜在桌，欢迎在心，别拘束。
欢迎大家，愿吃得舒心，聊得开心，下回还想再来。</x:v>
      </x:c>
      <x:c r="X252" s="8" t="str">
        <x:v>spoken</x:v>
      </x:c>
      <x:c r="Y252" s="8" t="str">
        <x:v>verse-1</x:v>
      </x:c>
      <x:c r="Z252" s="8" t="str"/>
      <x:c r="AA252" s="12" t="str"/>
    </x:row>
    <x:row r="253" ht="72" customHeight="1">
      <x:c r="A253" s="9" t="str">
        <x:v>r04-story-05-1</x:v>
      </x:c>
      <x:c r="B253" s="11" t="n">
        <x:v>1</x:v>
      </x:c>
      <x:c r="C253" s="9" t="str">
        <x:v>当前推荐</x:v>
      </x:c>
      <x:c r="D253" s="9" t="str">
        <x:v>我是主人</x:v>
      </x:c>
      <x:c r="E253" s="9" t="str">
        <x:v>全桌</x:v>
      </x:c>
      <x:c r="F253" s="9" t="str">
        <x:v>张罗的人也坐一坐</x:v>
      </x:c>
      <x:c r="G253" s="9" t="str">
        <x:v>《世说新语》里记载：“岂有终日执之，而不知其味者乎？”顾荣分出一份烤肉，也让忙着上菜的人尝尝。今天借这故事说一句：张罗的人也别光顾着忙，咱们一起坐下，好好吃饭。</x:v>
      </x:c>
      <x:c r="H253" s="9" t="str">
        <x:v>《世说新语》里记载：“岂有终日执之，而不知其味者乎？”顾荣分出一份烤肉，也让忙着上菜的人尝尝。今天借这故事说一句：张罗的人也别光顾着忙，咱们一起坐下，好好吃饭。
欢迎大家，愿吃得舒心，聊得开心，下回还想再来。</x:v>
      </x:c>
      <x:c r="I253" s="9" t="str">
        <x:v>To everyone whose work and thoughtfulness made this gathering possible.</x:v>
      </x:c>
      <x:c r="J253" s="9" t="str">
        <x:v>敬为这场相聚付出辛劳和心思的每个人。</x:v>
      </x:c>
      <x:c r="K253" s="9" t="str">
        <x:v>r04-story-05</x:v>
      </x:c>
      <x:c r="L253" s="9" t="str">
        <x:v>《世说新语·德行第二十五则》顾荣分炙</x:v>
      </x:c>
      <x:c r="M253" s="9" t="str">
        <x:v>岂有终日执之，而不知其味者乎？</x:v>
      </x:c>
      <x:c r="N253" s="9" t="str">
        <x:v>原条目与所引传记对获救时间情节不同；借顾及辛劳者的体贴，不推导行善必获回报。</x:v>
      </x:c>
      <x:c r="O253" s="9" t="str">
        <x:v>邀饮待客</x:v>
      </x:c>
      <x:c r="P253" s="9" t="str">
        <x:v>未限定</x:v>
      </x:c>
      <x:c r="Q253" s="9" t="str">
        <x:v>未限定</x:v>
      </x:c>
      <x:c r="R253" s="9" t="str">
        <x:v>引句后整理</x:v>
      </x:c>
      <x:c r="S253" s="9" t="str">
        <x:v>雅致</x:v>
      </x:c>
      <x:c r="T253" s="9" t="str">
        <x:v>我以茶代酒，心意一样真。</x:v>
      </x:c>
      <x:c r="U253" s="9" t="str">
        <x:v>With tea in my cup and the same warm wishes.</x:v>
      </x:c>
      <x:c r="V253" s="9" t="str">
        <x:v>《世说新语》里记载：“岂有终日执之，而不知其味者乎？”顾荣分出一份烤肉，也让忙着上菜的人尝尝。今天借这故事说一句：张罗的人也别光顾着忙，咱们一起坐下，好好吃饭。</x:v>
      </x:c>
      <x:c r="W253" s="9" t="str">
        <x:v>《世说新语》里记载：“岂有终日执之，而不知其味者乎？”顾荣分出一份烤肉，也让忙着上菜的人尝尝。今天借这故事说一句：张罗的人也别光顾着忙，咱们一起坐下，好好吃饭。
欢迎大家，愿吃得舒心，聊得开心，下回还想再来。</x:v>
      </x:c>
      <x:c r="X253" s="9" t="str">
        <x:v>spoken</x:v>
      </x:c>
      <x:c r="Y253" s="9" t="str">
        <x:v>story-0</x:v>
      </x:c>
      <x:c r="Z253" s="9" t="str"/>
      <x:c r="AA253" s="12" t="str"/>
    </x:row>
    <x:row r="254" ht="57" customHeight="1">
      <x:c r="A254" s="8" t="str">
        <x:v>r04-story-13-1</x:v>
      </x:c>
      <x:c r="B254" s="10" t="n">
        <x:v>1</x:v>
      </x:c>
      <x:c r="C254" s="8" t="str">
        <x:v>当前推荐</x:v>
      </x:c>
      <x:c r="D254" s="8" t="str">
        <x:v>我是主人</x:v>
      </x:c>
      <x:c r="E254" s="8" t="str">
        <x:v>全桌</x:v>
      </x:c>
      <x:c r="F254" s="8" t="str">
        <x:v>待客贵在真率</x:v>
      </x:c>
      <x:c r="G254" s="8" t="str">
        <x:v>《世说新语》里记载：“随客早晚，不问贵贱。”书里谈待客，把真率看得很重。今天我也求各位坐得舒服，吃得随意，不用在饭桌上再忙着客气。</x:v>
      </x:c>
      <x:c r="H254" s="8" t="str">
        <x:v>《世说新语》里记载：“随客早晚，不问贵贱。”书里谈待客，把真率看得很重。今天我也求各位坐得舒服，吃得随意，不用在饭桌上再忙着客气。
欢迎大家，愿吃得舒心，聊得开心，下回还想再来。</x:v>
      </x:c>
      <x:c r="I254" s="8" t="str">
        <x:v>To a welcome that lets everyone relax and feel at home.</x:v>
      </x:c>
      <x:c r="J254" s="8" t="str">
        <x:v>愿一份真率的欢迎，让人自在如归。</x:v>
      </x:c>
      <x:c r="K254" s="8" t="str">
        <x:v>r04-story-13</x:v>
      </x:c>
      <x:c r="L254" s="8" t="str">
        <x:v>《世说新语·雅量第二十则》羊曼待客真率</x:v>
      </x:c>
      <x:c r="M254" s="8" t="str">
        <x:v>随客早晚，不问贵贱。</x:v>
      </x:c>
      <x:c r="N254" s="8" t="str">
        <x:v>古人评论待客真率，不意味早晚客应区别对待；不照搬官场贵贱。</x:v>
      </x:c>
      <x:c r="O254" s="8" t="str">
        <x:v>邀饮待客</x:v>
      </x:c>
      <x:c r="P254" s="8" t="str">
        <x:v>未限定</x:v>
      </x:c>
      <x:c r="Q254" s="8" t="str">
        <x:v>未限定</x:v>
      </x:c>
      <x:c r="R254" s="8" t="str">
        <x:v>引句后整理</x:v>
      </x:c>
      <x:c r="S254" s="8" t="str">
        <x:v>雅致</x:v>
      </x:c>
      <x:c r="T254" s="8" t="str">
        <x:v>我以茶代酒，心意一样真。</x:v>
      </x:c>
      <x:c r="U254" s="8" t="str">
        <x:v>With tea in my cup and the same warm wishes.</x:v>
      </x:c>
      <x:c r="V254" s="8" t="str">
        <x:v>《世说新语》里记载：“随客早晚，不问贵贱。”书里谈待客，把真率看得很重。今天我也求各位坐得舒服，吃得随意，不用在饭桌上再忙着客气。</x:v>
      </x:c>
      <x:c r="W254" s="8" t="str">
        <x:v>《世说新语》里记载：“随客早晚，不问贵贱。”书里谈待客，把真率看得很重。今天我也求各位坐得舒服，吃得随意，不用在饭桌上再忙着客气。
欢迎大家，愿吃得舒心，聊得开心，下回还想再来。</x:v>
      </x:c>
      <x:c r="X254" s="8" t="str">
        <x:v>spoken</x:v>
      </x:c>
      <x:c r="Y254" s="8" t="str">
        <x:v>story-0</x:v>
      </x:c>
      <x:c r="Z254" s="8" t="str"/>
      <x:c r="AA254" s="12" t="str"/>
    </x:row>
    <x:row r="255" ht="72" customHeight="1">
      <x:c r="A255" s="9" t="str">
        <x:v>r04-story-21-2</x:v>
      </x:c>
      <x:c r="B255" s="11" t="n">
        <x:v>1</x:v>
      </x:c>
      <x:c r="C255" s="9" t="str">
        <x:v>当前推荐</x:v>
      </x:c>
      <x:c r="D255" s="9" t="str">
        <x:v>我是主人</x:v>
      </x:c>
      <x:c r="E255" s="9" t="str">
        <x:v>全桌</x:v>
      </x:c>
      <x:c r="F255" s="9" t="str">
        <x:v>带点家常来相聚 · 再说一句</x:v>
      </x:c>
      <x:c r="G255" s="9" t="str">
        <x:v>不必带贵重东西，也别忙着客气。今天欢迎大家来吃家常饭，愿咱们有来有往，有笑有说，下回还愿意再约。借这则旧事的一句：“有鱼，欲寄作脍。”</x:v>
      </x:c>
      <x:c r="H255" s="9" t="str">
        <x:v>不必带贵重东西，也别忙着客气。今天欢迎大家来吃家常饭，愿咱们有来有往，有笑有说，下回还愿意再约。
《世说新语》里记载：“有鱼，欲寄作脍。”欢迎大家，愿吃得舒心，聊得开心，下回还想再来。</x:v>
      </x:c>
      <x:c r="I255" s="9" t="str">
        <x:v>To simple reasons to meet and friendships that feel natural. Here is to another good day together.</x:v>
      </x:c>
      <x:c r="J255" s="9" t="str">
        <x:v>愿见面有家常的由头，交情自然。也盼再有同聚的好日子。</x:v>
      </x:c>
      <x:c r="K255" s="9" t="str">
        <x:v>r04-story-21</x:v>
      </x:c>
      <x:c r="L255" s="9" t="str">
        <x:v>《世说新语·任诞第三十八则》刘驎之寄鱼作鲙</x:v>
      </x:c>
      <x:c r="M255" s="9" t="str">
        <x:v>有鱼，欲寄作脍。</x:v>
      </x:c>
      <x:c r="N255" s="9" t="str">
        <x:v>笺疏辨此人为刘驎之，不是庐山刘程之；只借朴素来往，不倡生食淡水鱼或失礼待客。</x:v>
      </x:c>
      <x:c r="O255" s="9" t="str">
        <x:v>邀饮待客</x:v>
      </x:c>
      <x:c r="P255" s="9" t="str">
        <x:v>未限定</x:v>
      </x:c>
      <x:c r="Q255" s="9" t="str">
        <x:v>未限定</x:v>
      </x:c>
      <x:c r="R255" s="9" t="str">
        <x:v>引句后整理</x:v>
      </x:c>
      <x:c r="S255" s="9" t="str">
        <x:v>雅致</x:v>
      </x:c>
      <x:c r="T255" s="9" t="str">
        <x:v>我以茶代酒，心意一样真。</x:v>
      </x:c>
      <x:c r="U255" s="9" t="str">
        <x:v>With tea in my cup and the same warm wishes.</x:v>
      </x:c>
      <x:c r="V255" s="9" t="str">
        <x:v>不必带贵重东西，也别忙着客气。今天欢迎大家来吃家常饭，愿咱们有来有往，有笑有说，下回还愿意再约。借这则旧事的一句：“有鱼，欲寄作脍。”</x:v>
      </x:c>
      <x:c r="W255" s="9" t="str">
        <x:v>不必带贵重东西，也别忙着客气。今天欢迎大家来吃家常饭，愿咱们有来有往，有笑有说，下回还愿意再约。
《世说新语》里记载：“有鱼，欲寄作脍。”欢迎大家，愿吃得舒心，聊得开心，下回还想再来。</x:v>
      </x:c>
      <x:c r="X255" s="9" t="str">
        <x:v>spoken</x:v>
      </x:c>
      <x:c r="Y255" s="9" t="str">
        <x:v>story-0</x:v>
      </x:c>
      <x:c r="Z255" s="9" t="str"/>
      <x:c r="AA255" s="12" t="str"/>
    </x:row>
    <x:row r="256" ht="57" customHeight="1">
      <x:c r="A256" s="8" t="str">
        <x:v>r04-story-23-1</x:v>
      </x:c>
      <x:c r="B256" s="10" t="n">
        <x:v>1</x:v>
      </x:c>
      <x:c r="C256" s="8" t="str">
        <x:v>当前推荐</x:v>
      </x:c>
      <x:c r="D256" s="8" t="str">
        <x:v>我是主人</x:v>
      </x:c>
      <x:c r="E256" s="8" t="str">
        <x:v>全桌</x:v>
      </x:c>
      <x:c r="F256" s="8" t="str">
        <x:v>喜欢景更记得人</x:v>
      </x:c>
      <x:c r="G256" s="8" t="str">
        <x:v>《世说新语》里记载：“乃留坐，尽欢而去。”书里有人看竹看得忘了主人，今天咱们可要把人放在前头。欢迎大家来，景色、饭菜慢慢赏，先把这一桌朋友照应好。</x:v>
      </x:c>
      <x:c r="H256" s="8" t="str">
        <x:v>《世说新语》里记载：“乃留坐，尽欢而去。”书里有人看竹看得忘了主人，今天咱们可要把人放在前头。欢迎大家来，景色、饭菜慢慢赏，先把这一桌朋友照应好。
欢迎大家，愿吃得舒心，聊得开心，下回还想再来。</x:v>
      </x:c>
      <x:c r="I256" s="8" t="str">
        <x:v>To the hosts behind the meal and the people behind the scenery.</x:v>
      </x:c>
      <x:c r="J256" s="8" t="str">
        <x:v>谢饭菜背后的主人，也珍惜好景里的相聚。</x:v>
      </x:c>
      <x:c r="K256" s="8" t="str">
        <x:v>r04-story-23</x:v>
      </x:c>
      <x:c r="L256" s="8" t="str">
        <x:v>《世说新语·简傲第十六则》王子猷过门看竹</x:v>
      </x:c>
      <x:c r="M256" s="8" t="str">
        <x:v>乃留坐，尽欢而去。</x:v>
      </x:c>
      <x:c r="N256" s="8" t="str">
        <x:v>先看竹未理主人造成尴尬，后留坐；不模仿强留客或登门失礼。</x:v>
      </x:c>
      <x:c r="O256" s="8" t="str">
        <x:v>邀饮待客</x:v>
      </x:c>
      <x:c r="P256" s="8" t="str">
        <x:v>未限定</x:v>
      </x:c>
      <x:c r="Q256" s="8" t="str">
        <x:v>未限定</x:v>
      </x:c>
      <x:c r="R256" s="8" t="str">
        <x:v>引句后整理</x:v>
      </x:c>
      <x:c r="S256" s="8" t="str">
        <x:v>雅致</x:v>
      </x:c>
      <x:c r="T256" s="8" t="str">
        <x:v>我以茶代酒，心意一样真。</x:v>
      </x:c>
      <x:c r="U256" s="8" t="str">
        <x:v>With tea in my cup and the same warm wishes.</x:v>
      </x:c>
      <x:c r="V256" s="8" t="str">
        <x:v>《世说新语》里记载：“乃留坐，尽欢而去。”书里有人看竹看得忘了主人，今天咱们可要把人放在前头。欢迎大家来，景色、饭菜慢慢赏，先把这一桌朋友照应好。</x:v>
      </x:c>
      <x:c r="W256" s="8" t="str">
        <x:v>《世说新语》里记载：“乃留坐，尽欢而去。”书里有人看竹看得忘了主人，今天咱们可要把人放在前头。欢迎大家来，景色、饭菜慢慢赏，先把这一桌朋友照应好。
欢迎大家，愿吃得舒心，聊得开心，下回还想再来。</x:v>
      </x:c>
      <x:c r="X256" s="8" t="str">
        <x:v>spoken</x:v>
      </x:c>
      <x:c r="Y256" s="8" t="str">
        <x:v>story-2</x:v>
      </x:c>
      <x:c r="Z256" s="8" t="str"/>
      <x:c r="AA256" s="12" t="str"/>
    </x:row>
    <x:row r="257" ht="42" customHeight="1">
      <x:c r="A257" s="9" t="str">
        <x:v>spoken-host-01</x:v>
      </x:c>
      <x:c r="B257" s="11" t="n">
        <x:v>1</x:v>
      </x:c>
      <x:c r="C257" s="9" t="str">
        <x:v>当前推荐</x:v>
      </x:c>
      <x:c r="D257" s="9" t="str">
        <x:v>我是主人</x:v>
      </x:c>
      <x:c r="E257" s="9" t="str">
        <x:v>全桌</x:v>
      </x:c>
      <x:c r="F257" s="9" t="str">
        <x:v>谢谢大家愿意来</x:v>
      </x:c>
      <x:c r="G257" s="9" t="str">
        <x:v>谢谢大家今天来，愿意坐到这一桌，就是给我面子。吃好、聊好，有什么需要尽管说。</x:v>
      </x:c>
      <x:c r="H257" s="9" t="str">
        <x:v>今天把大家聚到一起，我很高兴。谢谢各位愿意腾出时间来，到了这儿就别太拘束，想吃什么、想聊什么，咱们慢慢来。这杯先欢迎大家。</x:v>
      </x:c>
      <x:c r="I257" s="9" t="str">
        <x:v>Thank you for coming. Make yourselves comfortable, and let’s enjoy the meal.</x:v>
      </x:c>
      <x:c r="J257" s="9" t="str">
        <x:v>谢谢大家来，请自在一些，一起度过愉快的时光。</x:v>
      </x:c>
      <x:c r="K257" s="9" t="str">
        <x:v>thanks</x:v>
      </x:c>
      <x:c r="L257" s="9" t="str">
        <x:v>感谢要有落点</x:v>
      </x:c>
      <x:c r="M257" s="9" t="str"/>
      <x:c r="N257" s="9" t="str">
        <x:v>主人先把客人照顾到；不用自谦菜不好，也不用催客人喝酒。</x:v>
      </x:c>
      <x:c r="O257" s="9" t="str">
        <x:v>未限定</x:v>
      </x:c>
      <x:c r="P257" s="9" t="str">
        <x:v>未限定</x:v>
      </x:c>
      <x:c r="Q257" s="9" t="str">
        <x:v>未限定</x:v>
      </x:c>
      <x:c r="R257" s="9" t="str">
        <x:v>依据表达方法整理</x:v>
      </x:c>
      <x:c r="S257" s="9" t="str">
        <x:v>雅致</x:v>
      </x:c>
      <x:c r="T257" s="9" t="str">
        <x:v>今天我以茶代酒，心意都在。</x:v>
      </x:c>
      <x:c r="U257" s="9" t="str">
        <x:v>I’m raising a cup of tea, with the same warm wishes.</x:v>
      </x:c>
      <x:c r="V257" s="9" t="str">
        <x:v>谢谢大家今天来，愿意坐到这一桌，就是给我面子。吃好、聊好，有什么需要尽管说。</x:v>
      </x:c>
      <x:c r="W257" s="9" t="str">
        <x:v>今天把大家聚到一起，我很高兴。谢谢各位愿意腾出时间来，到了这儿就别太拘束，想吃什么、想聊什么，咱们慢慢来。这杯先欢迎大家。</x:v>
      </x:c>
      <x:c r="X257" s="9" t="str">
        <x:v>spoken</x:v>
      </x:c>
      <x:c r="Y257" s="9" t="str">
        <x:v>plain</x:v>
      </x:c>
      <x:c r="Z257" s="9" t="str"/>
      <x:c r="AA257" s="12" t="str"/>
    </x:row>
    <x:row r="258" ht="42" customHeight="1">
      <x:c r="A258" s="8" t="str">
        <x:v>spoken-host-02</x:v>
      </x:c>
      <x:c r="B258" s="10" t="n">
        <x:v>1</x:v>
      </x:c>
      <x:c r="C258" s="8" t="str">
        <x:v>当前推荐</x:v>
      </x:c>
      <x:c r="D258" s="8" t="str">
        <x:v>我是主人</x:v>
      </x:c>
      <x:c r="E258" s="8" t="str">
        <x:v>全桌</x:v>
      </x:c>
      <x:c r="F258" s="8" t="str">
        <x:v>别光顾着客气</x:v>
      </x:c>
      <x:c r="G258" s="8" t="str">
        <x:v>大家今天别光顾着客气，喜欢的菜多吃点，想说的话慢慢说。这杯先欢迎各位。</x:v>
      </x:c>
      <x:c r="H258" s="8" t="str">
        <x:v>今天是我做东，先跟大家说声欢迎。饭菜合口，就多吃一点；话题投缘，就多聊一会儿。我先敬大家，愿各位来得高兴，吃得舒心，回去也觉得这趟没白来。</x:v>
      </x:c>
      <x:c r="I258" s="8" t="str">
        <x:v>Welcome to the table. Enjoy the food, stay for the conversation, and make yourselves at home.</x:v>
      </x:c>
      <x:c r="J258" s="8" t="str">
        <x:v>欢迎入席，愿大家吃得好、聊得来，像在家一样自在。</x:v>
      </x:c>
      <x:c r="K258" s="8" t="str">
        <x:v>rhythm</x:v>
      </x:c>
      <x:c r="L258" s="8" t="str">
        <x:v>把话写给耳朵听</x:v>
      </x:c>
      <x:c r="M258" s="8" t="str"/>
      <x:c r="N258" s="8" t="str">
        <x:v>主人先把客人照顾到；不用自谦菜不好，也不用催客人喝酒。</x:v>
      </x:c>
      <x:c r="O258" s="8" t="str">
        <x:v>未限定</x:v>
      </x:c>
      <x:c r="P258" s="8" t="str">
        <x:v>未限定</x:v>
      </x:c>
      <x:c r="Q258" s="8" t="str">
        <x:v>未限定</x:v>
      </x:c>
      <x:c r="R258" s="8" t="str">
        <x:v>依据表达方法整理</x:v>
      </x:c>
      <x:c r="S258" s="8" t="str">
        <x:v>雅致</x:v>
      </x:c>
      <x:c r="T258" s="8" t="str">
        <x:v>杯里是茶，祝福一样认真。</x:v>
      </x:c>
      <x:c r="U258" s="8" t="str">
        <x:v>I’m raising a cup of tea, with the same warm wishes.</x:v>
      </x:c>
      <x:c r="V258" s="8" t="str">
        <x:v>大家今天别光顾着客气，喜欢的菜多吃点，想说的话慢慢说。这杯先欢迎各位。</x:v>
      </x:c>
      <x:c r="W258" s="8" t="str">
        <x:v>今天是我做东，先跟大家说声欢迎。饭菜合口，就多吃一点；话题投缘，就多聊一会儿。我先敬大家，愿各位来得高兴，吃得舒心，回去也觉得这趟没白来。</x:v>
      </x:c>
      <x:c r="X258" s="8" t="str">
        <x:v>spoken</x:v>
      </x:c>
      <x:c r="Y258" s="8" t="str">
        <x:v>plain</x:v>
      </x:c>
      <x:c r="Z258" s="8" t="str"/>
      <x:c r="AA258" s="12" t="str"/>
    </x:row>
    <x:row r="259" ht="42" customHeight="1">
      <x:c r="A259" s="9" t="str">
        <x:v>spoken-host-03</x:v>
      </x:c>
      <x:c r="B259" s="11" t="n">
        <x:v>1</x:v>
      </x:c>
      <x:c r="C259" s="9" t="str">
        <x:v>当前推荐</x:v>
      </x:c>
      <x:c r="D259" s="9" t="str">
        <x:v>我是主人</x:v>
      </x:c>
      <x:c r="E259" s="9" t="str">
        <x:v>全桌</x:v>
      </x:c>
      <x:c r="F259" s="9" t="str">
        <x:v>你们一来，就热闹了</x:v>
      </x:c>
      <x:c r="G259" s="9" t="str">
        <x:v>这一桌有人，才有意思。谢谢大家来，今天先把饭吃好，把天聊热，我敬各位。</x:v>
      </x:c>
      <x:c r="H259" s="9" t="str">
        <x:v>一顿饭好不好，除了吃什么，也看跟谁吃。今天各位都在，我就觉得这顿饭有意思。先敬大家一杯，谢谢赏光，也希望往后还有很多机会像这样坐一桌。</x:v>
      </x:c>
      <x:c r="I259" s="9" t="str">
        <x:v>The people make the meal special. Thank you for being here, and here’s to meeting again.</x:v>
      </x:c>
      <x:c r="J259" s="9" t="str">
        <x:v>有你们在，这顿饭才特别；谢谢大家，也盼再聚。</x:v>
      </x:c>
      <x:c r="K259" s="9" t="str">
        <x:v>thanks</x:v>
      </x:c>
      <x:c r="L259" s="9" t="str">
        <x:v>感谢要有落点</x:v>
      </x:c>
      <x:c r="M259" s="9" t="str"/>
      <x:c r="N259" s="9" t="str">
        <x:v>主人先把客人照顾到；不用自谦菜不好，也不用催客人喝酒。</x:v>
      </x:c>
      <x:c r="O259" s="9" t="str">
        <x:v>未限定</x:v>
      </x:c>
      <x:c r="P259" s="9" t="str">
        <x:v>未限定</x:v>
      </x:c>
      <x:c r="Q259" s="9" t="str">
        <x:v>未限定</x:v>
      </x:c>
      <x:c r="R259" s="9" t="str">
        <x:v>依据表达方法整理</x:v>
      </x:c>
      <x:c r="S259" s="9" t="str">
        <x:v>雅致</x:v>
      </x:c>
      <x:c r="T259" s="9" t="str">
        <x:v>我用茶陪大家，咱们自在就好。</x:v>
      </x:c>
      <x:c r="U259" s="9" t="str">
        <x:v>I’m raising a cup of tea, with the same warm wishes.</x:v>
      </x:c>
      <x:c r="V259" s="9" t="str">
        <x:v>这一桌有人，才有意思。谢谢大家来，今天先把饭吃好，把天聊热，我敬各位。</x:v>
      </x:c>
      <x:c r="W259" s="9" t="str">
        <x:v>一顿饭好不好，除了吃什么，也看跟谁吃。今天各位都在，我就觉得这顿饭有意思。先敬大家一杯，谢谢赏光，也希望往后还有很多机会像这样坐一桌。</x:v>
      </x:c>
      <x:c r="X259" s="9" t="str">
        <x:v>spoken</x:v>
      </x:c>
      <x:c r="Y259" s="9" t="str">
        <x:v>plain</x:v>
      </x:c>
      <x:c r="Z259" s="9" t="str"/>
      <x:c r="AA259" s="12" t="str"/>
    </x:row>
    <x:row r="260" ht="42" customHeight="1">
      <x:c r="A260" s="8" t="str">
        <x:v>spoken-host-04</x:v>
      </x:c>
      <x:c r="B260" s="10" t="n">
        <x:v>1</x:v>
      </x:c>
      <x:c r="C260" s="8" t="str">
        <x:v>当前推荐</x:v>
      </x:c>
      <x:c r="D260" s="8" t="str">
        <x:v>我是主人</x:v>
      </x:c>
      <x:c r="E260" s="8" t="str">
        <x:v>全桌</x:v>
      </x:c>
      <x:c r="F260" s="8" t="str">
        <x:v>嘉宾到了，欢喜就到了</x:v>
      </x:c>
      <x:c r="G260" s="8" t="str">
        <x:v>“我有嘉宾”，我今天最想说的就是这四个字。谢谢大家来，今天咱们吃得自在、聊得开心。</x:v>
      </x:c>
      <x:c r="H260" s="8" t="str">
        <x:v>“我有嘉宾，鼓瑟吹笙。”古人的排场咱们不讲，珍惜客人的心意是一样的。今天谢谢大家来，这杯先欢迎各位。到了这里别见外，咱们好好吃饭，慢慢聊天。</x:v>
      </x:c>
      <x:c r="I260" s="8" t="str">
        <x:v>Welcome, dear guests. It means a lot to have you here. Let’s enjoy this time together.</x:v>
      </x:c>
      <x:c r="J260" s="8" t="str">
        <x:v>欢迎各位，大家能来我很珍惜，愿今天相聚愉快。</x:v>
      </x:c>
      <x:c r="K260" s="8" t="str">
        <x:v>luming</x:v>
      </x:c>
      <x:c r="L260" s="8" t="str">
        <x:v>《诗经·小雅·鹿鸣》</x:v>
      </x:c>
      <x:c r="M260" s="8" t="str">
        <x:v>我有嘉宾，鼓瑟吹笙。</x:v>
      </x:c>
      <x:c r="N260" s="8" t="str">
        <x:v>主人先把客人照顾到；不用自谦菜不好，也不用催客人喝酒。</x:v>
      </x:c>
      <x:c r="O260" s="8" t="str">
        <x:v>未限定</x:v>
      </x:c>
      <x:c r="P260" s="8" t="str">
        <x:v>未限定</x:v>
      </x:c>
      <x:c r="Q260" s="8" t="str">
        <x:v>未限定</x:v>
      </x:c>
      <x:c r="R260" s="8" t="str">
        <x:v>引句后整理</x:v>
      </x:c>
      <x:c r="S260" s="8" t="str">
        <x:v>雅致</x:v>
      </x:c>
      <x:c r="T260" s="8" t="str">
        <x:v>今天我以茶代酒，心意都在。</x:v>
      </x:c>
      <x:c r="U260" s="8" t="str">
        <x:v>I’m raising a cup of tea, with the same warm wishes.</x:v>
      </x:c>
      <x:c r="V260" s="8" t="str">
        <x:v>“我有嘉宾”，我今天最想说的就是这四个字。谢谢大家来，今天咱们吃得自在、聊得开心。</x:v>
      </x:c>
      <x:c r="W260" s="8" t="str">
        <x:v>“我有嘉宾，鼓瑟吹笙。”古人的排场咱们不讲，珍惜客人的心意是一样的。今天谢谢大家来，这杯先欢迎各位。到了这里别见外，咱们好好吃饭，慢慢聊天。</x:v>
      </x:c>
      <x:c r="X260" s="8" t="str">
        <x:v>spoken</x:v>
      </x:c>
      <x:c r="Y260" s="8" t="str">
        <x:v>verse</x:v>
      </x:c>
      <x:c r="Z260" s="8" t="str"/>
      <x:c r="AA260" s="12" t="str"/>
    </x:row>
    <x:row r="261" ht="42" customHeight="1">
      <x:c r="A261" s="9" t="str">
        <x:v>spoken-host-05</x:v>
      </x:c>
      <x:c r="B261" s="11" t="n">
        <x:v>1</x:v>
      </x:c>
      <x:c r="C261" s="9" t="str">
        <x:v>当前推荐</x:v>
      </x:c>
      <x:c r="D261" s="9" t="str">
        <x:v>我是主人</x:v>
      </x:c>
      <x:c r="E261" s="9" t="str">
        <x:v>全桌</x:v>
      </x:c>
      <x:c r="F261" s="9" t="str">
        <x:v>待客的心意，都在这桌上</x:v>
      </x:c>
      <x:c r="G261" s="9" t="str">
        <x:v>借“我有嘉宾”表达今天的高兴。饭慢慢吃，话慢慢聊，这杯先敬远近来的各位。</x:v>
      </x:c>
      <x:c r="H261" s="9" t="str">
        <x:v>“我有嘉宾”，今天借这四个字说一声欢迎。把各位请来，是想好好聚一聚，不用赶着说场面话。这杯敬大家，愿这顿饭吃完，咱们的交情也更近一点。</x:v>
      </x:c>
      <x:c r="I261" s="9" t="str">
        <x:v>To our guests, to an unhurried meal, and to growing closer through conversation.</x:v>
      </x:c>
      <x:c r="J261" s="9" t="str">
        <x:v>敬各位来宾，也愿慢慢吃饭聊天，让彼此更亲近。</x:v>
      </x:c>
      <x:c r="K261" s="9" t="str">
        <x:v>luming</x:v>
      </x:c>
      <x:c r="L261" s="9" t="str">
        <x:v>《诗经·小雅·鹿鸣》</x:v>
      </x:c>
      <x:c r="M261" s="9" t="str">
        <x:v>我有嘉宾，鼓瑟吹笙。</x:v>
      </x:c>
      <x:c r="N261" s="9" t="str">
        <x:v>主人先把客人照顾到；不用自谦菜不好，也不用催客人喝酒。</x:v>
      </x:c>
      <x:c r="O261" s="9" t="str">
        <x:v>未限定</x:v>
      </x:c>
      <x:c r="P261" s="9" t="str">
        <x:v>未限定</x:v>
      </x:c>
      <x:c r="Q261" s="9" t="str">
        <x:v>未限定</x:v>
      </x:c>
      <x:c r="R261" s="9" t="str">
        <x:v>引句后整理</x:v>
      </x:c>
      <x:c r="S261" s="9" t="str">
        <x:v>雅致</x:v>
      </x:c>
      <x:c r="T261" s="9" t="str">
        <x:v>杯里是茶，祝福一样认真。</x:v>
      </x:c>
      <x:c r="U261" s="9" t="str">
        <x:v>I’m raising a cup of tea, with the same warm wishes.</x:v>
      </x:c>
      <x:c r="V261" s="9" t="str">
        <x:v>借“我有嘉宾”表达今天的高兴。饭慢慢吃，话慢慢聊，这杯先敬远近来的各位。</x:v>
      </x:c>
      <x:c r="W261" s="9" t="str">
        <x:v>“我有嘉宾”，今天借这四个字说一声欢迎。把各位请来，是想好好聚一聚，不用赶着说场面话。这杯敬大家，愿这顿饭吃完，咱们的交情也更近一点。</x:v>
      </x:c>
      <x:c r="X261" s="9" t="str">
        <x:v>spoken</x:v>
      </x:c>
      <x:c r="Y261" s="9" t="str">
        <x:v>verse</x:v>
      </x:c>
      <x:c r="Z261" s="9" t="str"/>
      <x:c r="AA261" s="12" t="str"/>
    </x:row>
    <x:row r="262" ht="42" customHeight="1">
      <x:c r="A262" s="8" t="str">
        <x:v>spoken-host-07</x:v>
      </x:c>
      <x:c r="B262" s="10" t="n">
        <x:v>1</x:v>
      </x:c>
      <x:c r="C262" s="8" t="str">
        <x:v>当前推荐</x:v>
      </x:c>
      <x:c r="D262" s="8" t="str">
        <x:v>我是主人</x:v>
      </x:c>
      <x:c r="E262" s="8" t="str">
        <x:v>全桌</x:v>
      </x:c>
      <x:c r="F262" s="8" t="str">
        <x:v>客气话先放桌边</x:v>
      </x:c>
      <x:c r="G262" s="8" t="str">
        <x:v>今天客气话先放桌边，筷子拿起来，喜欢的多吃两口。这杯欢迎大家，咱们自在就好。</x:v>
      </x:c>
      <x:c r="H262" s="8" t="str">
        <x:v>今天我做东，有个小愿望：大家别忙着客气，先把喜欢的菜吃到嘴里。聊得开心，比我说多少欢迎词都强。来，我先敬各位，谢谢你们来。</x:v>
      </x:c>
      <x:c r="I262" s="8" t="str">
        <x:v>My wish as your host: less formality, more good food and happy conversation. Cheers!</x:v>
      </x:c>
      <x:c r="J262" s="8" t="str">
        <x:v>作为主人，我就盼大家少些客气，多吃好吃的、多聊开心的。</x:v>
      </x:c>
      <x:c r="K262" s="8" t="str">
        <x:v>rhythm</x:v>
      </x:c>
      <x:c r="L262" s="8" t="str">
        <x:v>把话写给耳朵听</x:v>
      </x:c>
      <x:c r="M262" s="8" t="str"/>
      <x:c r="N262" s="8" t="str">
        <x:v>主人先把客人照顾到；不用自谦菜不好，也不用催客人喝酒。</x:v>
      </x:c>
      <x:c r="O262" s="8" t="str">
        <x:v>未限定</x:v>
      </x:c>
      <x:c r="P262" s="8" t="str">
        <x:v>未限定</x:v>
      </x:c>
      <x:c r="Q262" s="8" t="str">
        <x:v>未限定</x:v>
      </x:c>
      <x:c r="R262" s="8" t="str">
        <x:v>依据表达方法整理</x:v>
      </x:c>
      <x:c r="S262" s="8" t="str">
        <x:v>诙谐</x:v>
      </x:c>
      <x:c r="T262" s="8" t="str">
        <x:v>今天我以茶代酒，心意都在。</x:v>
      </x:c>
      <x:c r="U262" s="8" t="str">
        <x:v>I’m raising a cup of tea, with the same warm wishes.</x:v>
      </x:c>
      <x:c r="V262" s="8" t="str">
        <x:v>今天客气话先放桌边，筷子拿起来，喜欢的多吃两口。这杯欢迎大家，咱们自在就好。</x:v>
      </x:c>
      <x:c r="W262" s="8" t="str">
        <x:v>今天我做东，有个小愿望：大家别忙着客气，先把喜欢的菜吃到嘴里。聊得开心，比我说多少欢迎词都强。来，我先敬各位，谢谢你们来。</x:v>
      </x:c>
      <x:c r="X262" s="8" t="str">
        <x:v>spoken</x:v>
      </x:c>
      <x:c r="Y262" s="8" t="str">
        <x:v>fun</x:v>
      </x:c>
      <x:c r="Z262" s="8" t="str"/>
      <x:c r="AA262" s="12" t="str"/>
    </x:row>
    <x:row r="263" ht="42" customHeight="1">
      <x:c r="A263" s="9" t="str">
        <x:v>spoken-host-08</x:v>
      </x:c>
      <x:c r="B263" s="11" t="n">
        <x:v>1</x:v>
      </x:c>
      <x:c r="C263" s="9" t="str">
        <x:v>当前推荐</x:v>
      </x:c>
      <x:c r="D263" s="9" t="str">
        <x:v>我是主人</x:v>
      </x:c>
      <x:c r="E263" s="9" t="str">
        <x:v>全桌</x:v>
      </x:c>
      <x:c r="F263" s="9" t="str">
        <x:v>今天先不赶时间</x:v>
      </x:c>
      <x:c r="G263" s="9" t="str">
        <x:v>既然来了，就先把这顿饭吃高兴。菜可以慢慢尝，天可以慢慢聊，欢迎各位！</x:v>
      </x:c>
      <x:c r="H263" s="9" t="str">
        <x:v>人一到齐，我这做东的就高兴了。今天不追求什么标准流程，喜欢吃的多尝尝，聊得来的多聊聊。这杯先敬大家，愿各位吃得舒服，也笑得痛快。</x:v>
      </x:c>
      <x:c r="I263" s="9" t="str">
        <x:v>No formal programme today—just good food, good conversation, and plenty of laughter.</x:v>
      </x:c>
      <x:c r="J263" s="9" t="str">
        <x:v>今天不赶流程，愿大家吃得好、聊得来、笑得开心。</x:v>
      </x:c>
      <x:c r="K263" s="9" t="str">
        <x:v>rhythm</x:v>
      </x:c>
      <x:c r="L263" s="9" t="str">
        <x:v>把话写给耳朵听</x:v>
      </x:c>
      <x:c r="M263" s="9" t="str"/>
      <x:c r="N263" s="9" t="str">
        <x:v>主人先把客人照顾到；不用自谦菜不好，也不用催客人喝酒。</x:v>
      </x:c>
      <x:c r="O263" s="9" t="str">
        <x:v>未限定</x:v>
      </x:c>
      <x:c r="P263" s="9" t="str">
        <x:v>未限定</x:v>
      </x:c>
      <x:c r="Q263" s="9" t="str">
        <x:v>未限定</x:v>
      </x:c>
      <x:c r="R263" s="9" t="str">
        <x:v>依据表达方法整理</x:v>
      </x:c>
      <x:c r="S263" s="9" t="str">
        <x:v>诙谐</x:v>
      </x:c>
      <x:c r="T263" s="9" t="str">
        <x:v>杯里是茶，祝福一样认真。</x:v>
      </x:c>
      <x:c r="U263" s="9" t="str">
        <x:v>I’m raising a cup of tea, with the same warm wishes.</x:v>
      </x:c>
      <x:c r="V263" s="9" t="str">
        <x:v>既然来了，就先把这顿饭吃高兴。菜可以慢慢尝，天可以慢慢聊，欢迎各位！</x:v>
      </x:c>
      <x:c r="W263" s="9" t="str">
        <x:v>人一到齐，我这做东的就高兴了。今天不追求什么标准流程，喜欢吃的多尝尝，聊得来的多聊聊。这杯先敬大家，愿各位吃得舒服，也笑得痛快。</x:v>
      </x:c>
      <x:c r="X263" s="9" t="str">
        <x:v>spoken</x:v>
      </x:c>
      <x:c r="Y263" s="9" t="str">
        <x:v>fun</x:v>
      </x:c>
      <x:c r="Z263" s="9" t="str"/>
      <x:c r="AA263" s="12" t="str"/>
    </x:row>
    <x:row r="264" ht="42" customHeight="1">
      <x:c r="A264" s="8" t="str">
        <x:v>spoken-host-09</x:v>
      </x:c>
      <x:c r="B264" s="10" t="n">
        <x:v>1</x:v>
      </x:c>
      <x:c r="C264" s="8" t="str">
        <x:v>当前推荐</x:v>
      </x:c>
      <x:c r="D264" s="8" t="str">
        <x:v>我是主人</x:v>
      </x:c>
      <x:c r="E264" s="8" t="str">
        <x:v>全桌</x:v>
      </x:c>
      <x:c r="F264" s="8" t="str">
        <x:v>来一趟，就得自在一点</x:v>
      </x:c>
      <x:c r="G264" s="8" t="str">
        <x:v>今天请大家来，就是想好好聚聚。客气话咱们少说点，吃好、聊好，我先敬各位。</x:v>
      </x:c>
      <x:c r="H264" s="8" t="str">
        <x:v>把大家请到一桌，是想找个机会多聊聊。今天不用赶，也不用拘束，我先敬各位。祝大家最近都顺心，也希望这顿饭，能让各位觉得舒服、开心。</x:v>
      </x:c>
      <x:c r="I264" s="8" t="str">
        <x:v>I wanted a chance for us to spend time together. Welcome, and please feel at ease.</x:v>
      </x:c>
      <x:c r="J264" s="8" t="str">
        <x:v>请大家来，就是想好好聚聚，欢迎各位自在一些。</x:v>
      </x:c>
      <x:c r="K264" s="8" t="str">
        <x:v>thanks</x:v>
      </x:c>
      <x:c r="L264" s="8" t="str">
        <x:v>感谢要有落点</x:v>
      </x:c>
      <x:c r="M264" s="8" t="str"/>
      <x:c r="N264" s="8" t="str">
        <x:v>主人先把客人照顾到；不用自谦菜不好，也不用催客人喝酒。</x:v>
      </x:c>
      <x:c r="O264" s="8" t="str">
        <x:v>未限定</x:v>
      </x:c>
      <x:c r="P264" s="8" t="str">
        <x:v>未限定</x:v>
      </x:c>
      <x:c r="Q264" s="8" t="str">
        <x:v>未限定</x:v>
      </x:c>
      <x:c r="R264" s="8" t="str">
        <x:v>依据表达方法整理</x:v>
      </x:c>
      <x:c r="S264" s="8" t="str">
        <x:v>雅致</x:v>
      </x:c>
      <x:c r="T264" s="8" t="str">
        <x:v>我用茶陪大家，咱们自在就好。</x:v>
      </x:c>
      <x:c r="U264" s="8" t="str">
        <x:v>I’m raising a cup of tea, with the same warm wishes.</x:v>
      </x:c>
      <x:c r="V264" s="8" t="str">
        <x:v>今天请大家来，就是想好好聚聚。客气话咱们少说点，吃好、聊好，我先敬各位。</x:v>
      </x:c>
      <x:c r="W264" s="8" t="str">
        <x:v>把大家请到一桌，是想找个机会多聊聊。今天不用赶，也不用拘束，我先敬各位。祝大家最近都顺心，也希望这顿饭，能让各位觉得舒服、开心。</x:v>
      </x:c>
      <x:c r="X264" s="8" t="str">
        <x:v>spoken</x:v>
      </x:c>
      <x:c r="Y264" s="8" t="str">
        <x:v>plain</x:v>
      </x:c>
      <x:c r="Z264" s="8" t="str"/>
      <x:c r="AA264" s="12" t="str"/>
    </x:row>
    <x:row r="265" ht="42" customHeight="1">
      <x:c r="A265" s="9" t="str">
        <x:v>spoken-host-10</x:v>
      </x:c>
      <x:c r="B265" s="11" t="n">
        <x:v>1</x:v>
      </x:c>
      <x:c r="C265" s="9" t="str">
        <x:v>当前推荐</x:v>
      </x:c>
      <x:c r="D265" s="9" t="str">
        <x:v>我是主人</x:v>
      </x:c>
      <x:c r="E265" s="9" t="str">
        <x:v>全桌</x:v>
      </x:c>
      <x:c r="F265" s="9" t="str">
        <x:v>一声嘉宾，一份欢迎</x:v>
      </x:c>
      <x:c r="G265" s="9" t="str">
        <x:v>“我有嘉宾”，今天这一桌，每位我都欢迎。谢谢大家来，咱们把这顿饭吃热闹了。</x:v>
      </x:c>
      <x:c r="H265" s="9" t="str">
        <x:v>“我有嘉宾”，这四个字放到今天，就是一声真心的欢迎。谢谢大家来，饭菜咱们慢慢尝，想说的话慢慢聊。这杯敬各位，也祝往后来往常有。</x:v>
      </x:c>
      <x:c r="I265" s="9" t="str">
        <x:v>A warm welcome to every guest at this table. Thank you for coming.</x:v>
      </x:c>
      <x:c r="J265" s="9" t="str">
        <x:v>真心欢迎同桌的每一位，也谢谢大家来。</x:v>
      </x:c>
      <x:c r="K265" s="9" t="str">
        <x:v>luming</x:v>
      </x:c>
      <x:c r="L265" s="9" t="str">
        <x:v>《诗经·小雅·鹿鸣》</x:v>
      </x:c>
      <x:c r="M265" s="9" t="str">
        <x:v>我有嘉宾，鼓瑟吹笙。</x:v>
      </x:c>
      <x:c r="N265" s="9" t="str">
        <x:v>主人先把客人照顾到；不用自谦菜不好，也不用催客人喝酒。</x:v>
      </x:c>
      <x:c r="O265" s="9" t="str">
        <x:v>未限定</x:v>
      </x:c>
      <x:c r="P265" s="9" t="str">
        <x:v>未限定</x:v>
      </x:c>
      <x:c r="Q265" s="9" t="str">
        <x:v>未限定</x:v>
      </x:c>
      <x:c r="R265" s="9" t="str">
        <x:v>引句后整理</x:v>
      </x:c>
      <x:c r="S265" s="9" t="str">
        <x:v>雅致</x:v>
      </x:c>
      <x:c r="T265" s="9" t="str">
        <x:v>今天我以茶代酒，心意都在。</x:v>
      </x:c>
      <x:c r="U265" s="9" t="str">
        <x:v>I’m raising a cup of tea, with the same warm wishes.</x:v>
      </x:c>
      <x:c r="V265" s="9" t="str">
        <x:v>“我有嘉宾”，今天这一桌，每位我都欢迎。谢谢大家来，咱们把这顿饭吃热闹了。</x:v>
      </x:c>
      <x:c r="W265" s="9" t="str">
        <x:v>“我有嘉宾”，这四个字放到今天，就是一声真心的欢迎。谢谢大家来，饭菜咱们慢慢尝，想说的话慢慢聊。这杯敬各位，也祝往后来往常有。</x:v>
      </x:c>
      <x:c r="X265" s="9" t="str">
        <x:v>spoken</x:v>
      </x:c>
      <x:c r="Y265" s="9" t="str">
        <x:v>verse</x:v>
      </x:c>
      <x:c r="Z265" s="9" t="str"/>
      <x:c r="AA265" s="12" t="str"/>
    </x:row>
    <x:row r="266" ht="42" customHeight="1">
      <x:c r="A266" s="8" t="str">
        <x:v>spoken-host-11</x:v>
      </x:c>
      <x:c r="B266" s="10" t="n">
        <x:v>1</x:v>
      </x:c>
      <x:c r="C266" s="8" t="str">
        <x:v>当前推荐</x:v>
      </x:c>
      <x:c r="D266" s="8" t="str">
        <x:v>我是主人</x:v>
      </x:c>
      <x:c r="E266" s="8" t="str">
        <x:v>全桌</x:v>
      </x:c>
      <x:c r="F266" s="8" t="str">
        <x:v>欢迎词说短，饭局过好</x:v>
      </x:c>
      <x:c r="G266" s="8" t="str">
        <x:v>欢迎词我就说短一点，这顿饭咱们好好过。各位吃得开心，就是今天最好的反馈。</x:v>
      </x:c>
      <x:c r="H266" s="8" t="str">
        <x:v>作为今天做东的人，我有个很朴素的目标：大家吃得好，聊得开心。欢迎词说多了占时间，我先敬各位，咱们把热闹留给接下来的聊天。</x:v>
      </x:c>
      <x:c r="I266" s="8" t="str">
        <x:v>A short welcome and a happy dinner—that’s my plan. Cheers to all our guests!</x:v>
      </x:c>
      <x:c r="J266" s="8" t="str">
        <x:v>欢迎词说短一点，饭吃开心一点，敬各位来宾。</x:v>
      </x:c>
      <x:c r="K266" s="8" t="str">
        <x:v>rhythm</x:v>
      </x:c>
      <x:c r="L266" s="8" t="str">
        <x:v>把话写给耳朵听</x:v>
      </x:c>
      <x:c r="M266" s="8" t="str"/>
      <x:c r="N266" s="8" t="str">
        <x:v>主人先把客人照顾到；不用自谦菜不好，也不用催客人喝酒。</x:v>
      </x:c>
      <x:c r="O266" s="8" t="str">
        <x:v>未限定</x:v>
      </x:c>
      <x:c r="P266" s="8" t="str">
        <x:v>未限定</x:v>
      </x:c>
      <x:c r="Q266" s="8" t="str">
        <x:v>未限定</x:v>
      </x:c>
      <x:c r="R266" s="8" t="str">
        <x:v>依据表达方法整理</x:v>
      </x:c>
      <x:c r="S266" s="8" t="str">
        <x:v>诙谐</x:v>
      </x:c>
      <x:c r="T266" s="8" t="str">
        <x:v>杯里是茶，祝福一样认真。</x:v>
      </x:c>
      <x:c r="U266" s="8" t="str">
        <x:v>I’m raising a cup of tea, with the same warm wishes.</x:v>
      </x:c>
      <x:c r="V266" s="8" t="str">
        <x:v>欢迎词我就说短一点，这顿饭咱们好好过。各位吃得开心，就是今天最好的反馈。</x:v>
      </x:c>
      <x:c r="W266" s="8" t="str">
        <x:v>作为今天做东的人，我有个很朴素的目标：大家吃得好，聊得开心。欢迎词说多了占时间，我先敬各位，咱们把热闹留给接下来的聊天。</x:v>
      </x:c>
      <x:c r="X266" s="8" t="str">
        <x:v>spoken</x:v>
      </x:c>
      <x:c r="Y266" s="8" t="str">
        <x:v>fun</x:v>
      </x:c>
      <x:c r="Z266" s="8" t="str"/>
      <x:c r="AA266" s="12" t="str"/>
    </x:row>
    <x:row r="267" ht="42" customHeight="1">
      <x:c r="A267" s="9" t="str">
        <x:v>spoken-host-12</x:v>
      </x:c>
      <x:c r="B267" s="11" t="n">
        <x:v>1</x:v>
      </x:c>
      <x:c r="C267" s="9" t="str">
        <x:v>当前推荐</x:v>
      </x:c>
      <x:c r="D267" s="9" t="str">
        <x:v>我是主人</x:v>
      </x:c>
      <x:c r="E267" s="9" t="str">
        <x:v>全桌</x:v>
      </x:c>
      <x:c r="F267" s="9" t="str">
        <x:v>别只顾着给我面子</x:v>
      </x:c>
      <x:c r="G267" s="9" t="str">
        <x:v>大家给面子来了，就别再客气得不动筷子。喜欢的多吃点，咱们今天自在就好。</x:v>
      </x:c>
      <x:c r="H267" s="9" t="str">
        <x:v>今天各位能来，我已经很高兴了。剩下就别只顾着给我面子，喜欢的菜多吃两口，聊得来的多聊一会儿。来，这杯欢迎大家，也祝各位都顺心。</x:v>
      </x:c>
      <x:c r="I267" s="9" t="str">
        <x:v>You’ve already made me happy by coming. Now relax and enjoy yourselves.</x:v>
      </x:c>
      <x:c r="J267" s="9" t="str">
        <x:v>大家能来我就很高兴，接下来请自在享用、开心相聚。</x:v>
      </x:c>
      <x:c r="K267" s="9" t="str">
        <x:v>rhythm</x:v>
      </x:c>
      <x:c r="L267" s="9" t="str">
        <x:v>把话写给耳朵听</x:v>
      </x:c>
      <x:c r="M267" s="9" t="str"/>
      <x:c r="N267" s="9" t="str">
        <x:v>主人先把客人照顾到；不用自谦菜不好，也不用催客人喝酒。</x:v>
      </x:c>
      <x:c r="O267" s="9" t="str">
        <x:v>未限定</x:v>
      </x:c>
      <x:c r="P267" s="9" t="str">
        <x:v>未限定</x:v>
      </x:c>
      <x:c r="Q267" s="9" t="str">
        <x:v>未限定</x:v>
      </x:c>
      <x:c r="R267" s="9" t="str">
        <x:v>依据表达方法整理</x:v>
      </x:c>
      <x:c r="S267" s="9" t="str">
        <x:v>诙谐</x:v>
      </x:c>
      <x:c r="T267" s="9" t="str">
        <x:v>我用茶陪大家，咱们自在就好。</x:v>
      </x:c>
      <x:c r="U267" s="9" t="str">
        <x:v>I’m raising a cup of tea, with the same warm wishes.</x:v>
      </x:c>
      <x:c r="V267" s="9" t="str">
        <x:v>大家给面子来了，就别再客气得不动筷子。喜欢的多吃点，咱们今天自在就好。</x:v>
      </x:c>
      <x:c r="W267" s="9" t="str">
        <x:v>今天各位能来，我已经很高兴了。剩下就别只顾着给我面子，喜欢的菜多吃两口，聊得来的多聊一会儿。来，这杯欢迎大家，也祝各位都顺心。</x:v>
      </x:c>
      <x:c r="X267" s="9" t="str">
        <x:v>spoken</x:v>
      </x:c>
      <x:c r="Y267" s="9" t="str">
        <x:v>fun</x:v>
      </x:c>
      <x:c r="Z267" s="9" t="str"/>
      <x:c r="AA267" s="12" t="str"/>
    </x:row>
    <x:row r="268" ht="57" customHeight="1">
      <x:c r="A268" s="8" t="str">
        <x:v>verse-bai-fire</x:v>
      </x:c>
      <x:c r="B268" s="10" t="n">
        <x:v>1</x:v>
      </x:c>
      <x:c r="C268" s="8" t="str">
        <x:v>当前推荐</x:v>
      </x:c>
      <x:c r="D268" s="8" t="str">
        <x:v>我是主人</x:v>
      </x:c>
      <x:c r="E268" s="8" t="str">
        <x:v>全桌</x:v>
      </x:c>
      <x:c r="F268" s="8" t="str">
        <x:v>不讲排场，先讲暖意</x:v>
      </x:c>
      <x:c r="G268" s="8" t="str">
        <x:v>“绿蚁新醅酒，红泥小火炉。”古人的款待不必多大排场，有一份暖意就好。今天谢谢大家来，饭趁热吃，话慢慢聊。</x:v>
      </x:c>
      <x:c r="H268" s="8" t="str">
        <x:v>“绿蚁新醅酒，红泥小火炉。”我喜欢白居易这份待客的心：没有铺张，却把朋友放在心上。今天这一桌，也想让各位坐得自在、吃得舒心。先敬大家一杯，愿来时有兴，回去有暖，下次还愿意再来。</x:v>
      </x:c>
      <x:c r="I268" s="8" t="str">
        <x:v>Welcome to this table. May you feel at home, enjoy the food, and leave with a warm memory.</x:v>
      </x:c>
      <x:c r="J268" s="8" t="str">
        <x:v>欢迎大家，愿吃得舒心、相处自在，带着暖意回去。</x:v>
      </x:c>
      <x:c r="K268" s="8" t="str">
        <x:v>poem-bai-fire</x:v>
      </x:c>
      <x:c r="L268" s="8" t="str">
        <x:v>白居易《问刘十九》</x:v>
      </x:c>
      <x:c r="M268" s="8" t="str">
        <x:v>绿蚁新醅酒，红泥小火炉。</x:v>
      </x:c>
      <x:c r="N268" s="8" t="str">
        <x:v>绿蚁是新酿酒表面的浮沫；原诗小炉邀饮，取朴素款待的暖意，不把今天酒种说成唐代新醅。</x:v>
      </x:c>
      <x:c r="O268" s="8" t="str">
        <x:v>邀饮待客、团圆相聚</x:v>
      </x:c>
      <x:c r="P268" s="8" t="str">
        <x:v>未限定</x:v>
      </x:c>
      <x:c r="Q268" s="8" t="str">
        <x:v>未限定</x:v>
      </x:c>
      <x:c r="R268" s="8" t="str">
        <x:v>引句后整理</x:v>
      </x:c>
      <x:c r="S268" s="8" t="str">
        <x:v>雅致</x:v>
      </x:c>
      <x:c r="T268" s="8" t="str">
        <x:v>我以茶代酒，心意一样。</x:v>
      </x:c>
      <x:c r="U268" s="8" t="str">
        <x:v>With tea in my cup and the same warm wishes.</x:v>
      </x:c>
      <x:c r="V268" s="8" t="str">
        <x:v>“绿蚁新醅酒，红泥小火炉。”古人的款待不必多大排场，有一份暖意就好。今天谢谢大家来，饭趁热吃，话慢慢聊。</x:v>
      </x:c>
      <x:c r="W268" s="8" t="str">
        <x:v>“绿蚁新醅酒，红泥小火炉。”我喜欢白居易这份待客的心：没有铺张，却把朋友放在心上。今天这一桌，也想让各位坐得自在、吃得舒心。先敬大家一杯，愿来时有兴，回去有暖，下次还愿意再来。</x:v>
      </x:c>
      <x:c r="X268" s="8" t="str">
        <x:v>spoken</x:v>
      </x:c>
      <x:c r="Y268" s="8" t="str">
        <x:v>verse</x:v>
      </x:c>
      <x:c r="Z268" s="8" t="str"/>
      <x:c r="AA268" s="12" t="str"/>
    </x:row>
    <x:row r="269" ht="57" customHeight="1">
      <x:c r="A269" s="9" t="str">
        <x:v>verse-du-guest</x:v>
      </x:c>
      <x:c r="B269" s="11" t="n">
        <x:v>1</x:v>
      </x:c>
      <x:c r="C269" s="9" t="str">
        <x:v>当前推荐</x:v>
      </x:c>
      <x:c r="D269" s="9" t="str">
        <x:v>我是主人</x:v>
      </x:c>
      <x:c r="E269" s="9" t="str">
        <x:v>全桌</x:v>
      </x:c>
      <x:c r="F269" s="9" t="str">
        <x:v>门为客开，心因人暖</x:v>
      </x:c>
      <x:c r="G269" s="9" t="str">
        <x:v>“花径不曾缘客扫，蓬门今始为君开。”今天借杜甫这份高兴欢迎各位：门为客开，心因人暖。来了就别见外，咱们好好聚一聚。</x:v>
      </x:c>
      <x:c r="H269" s="9" t="str">
        <x:v>“花径不曾缘客扫，蓬门今始为君开。”杜甫写客人到来，字里都是高兴。今天我也有这份心情：把大家请到一起，是想好好吃顿饭，也好好说说话。先敬各位，愿来时自在，席间开怀，走后想起来，还愿意下回再来。</x:v>
      </x:c>
      <x:c r="I269" s="9" t="str">
        <x:v>It is a pleasure to welcome you. May you feel at ease today and look forward to meeting again.</x:v>
      </x:c>
      <x:c r="J269" s="9" t="str">
        <x:v>欢迎大家，愿今天相处自在，下次还盼再聚。</x:v>
      </x:c>
      <x:c r="K269" s="9" t="str">
        <x:v>poem-du-guest</x:v>
      </x:c>
      <x:c r="L269" s="9" t="str">
        <x:v>杜甫《客至》</x:v>
      </x:c>
      <x:c r="M269" s="9" t="str">
        <x:v>花径不曾缘客扫，蓬门今始为君开。</x:v>
      </x:c>
      <x:c r="N269" s="9" t="str">
        <x:v>原诗主人因友人来访而欣喜；借郑重欢迎，不预设家贫，不贬低今天的饭菜。</x:v>
      </x:c>
      <x:c r="O269" s="9" t="str">
        <x:v>邀饮待客、好友知己</x:v>
      </x:c>
      <x:c r="P269" s="9" t="str">
        <x:v>未限定</x:v>
      </x:c>
      <x:c r="Q269" s="9" t="str">
        <x:v>未限定</x:v>
      </x:c>
      <x:c r="R269" s="9" t="str">
        <x:v>引句后整理</x:v>
      </x:c>
      <x:c r="S269" s="9" t="str">
        <x:v>雅致</x:v>
      </x:c>
      <x:c r="T269" s="9" t="str">
        <x:v>我以茶代酒，心意一样。</x:v>
      </x:c>
      <x:c r="U269" s="9" t="str">
        <x:v>With tea in my cup and the same warm wishes.</x:v>
      </x:c>
      <x:c r="V269" s="9" t="str">
        <x:v>“花径不曾缘客扫，蓬门今始为君开。”今天借杜甫这份高兴欢迎各位：门为客开，心因人暖。来了就别见外，咱们好好聚一聚。</x:v>
      </x:c>
      <x:c r="W269" s="9" t="str">
        <x:v>“花径不曾缘客扫，蓬门今始为君开。”杜甫写客人到来，字里都是高兴。今天我也有这份心情：把大家请到一起，是想好好吃顿饭，也好好说说话。先敬各位，愿来时自在，席间开怀，走后想起来，还愿意下回再来。</x:v>
      </x:c>
      <x:c r="X269" s="9" t="str">
        <x:v>spoken</x:v>
      </x:c>
      <x:c r="Y269" s="9" t="str">
        <x:v>verse</x:v>
      </x:c>
      <x:c r="Z269" s="9" t="str"/>
      <x:c r="AA269" s="12" t="str"/>
    </x:row>
    <x:row r="270" ht="57" customHeight="1">
      <x:c r="A270" s="8" t="str">
        <x:v>verse-li-askmoon-midautumn</x:v>
      </x:c>
      <x:c r="B270" s="10" t="n">
        <x:v>1</x:v>
      </x:c>
      <x:c r="C270" s="8" t="str">
        <x:v>当前推荐</x:v>
      </x:c>
      <x:c r="D270" s="8" t="str">
        <x:v>我是主人</x:v>
      </x:c>
      <x:c r="E270" s="8" t="str">
        <x:v>全桌</x:v>
      </x:c>
      <x:c r="F270" s="8" t="str">
        <x:v>中秋这一席，先敬来的人</x:v>
      </x:c>
      <x:c r="G270" s="8" t="str">
        <x:v>“唯愿当歌对酒时，月光长照金樽里。”今天中秋，先敬愿意来同桌的各位。愿月圆添好意，相聚暖人心，往后来往常有。</x:v>
      </x:c>
      <x:c r="H270" s="8" t="str">
        <x:v>李白说“唯愿当歌对酒时，月光长照金樽里。”。今天中秋，我先借这份好愿欢迎大家。窗外有没有月色都不妨碍这桌团圆，有人肯来，有话可聊，就是过节的好光景。这杯敬各位，愿今夜有欢，来往有情，往后的好日子也常能一起分享。</x:v>
      </x:c>
      <x:c r="I270" s="8" t="str">
        <x:v>Welcome this Mid-Autumn. Your company makes the gathering special, whether or not we can see the moon.</x:v>
      </x:c>
      <x:c r="J270" s="8" t="str">
        <x:v>欢迎中秋同桌，不论能否见月，相伴就是好光景。</x:v>
      </x:c>
      <x:c r="K270" s="8" t="str">
        <x:v>poem-li-askmoon</x:v>
      </x:c>
      <x:c r="L270" s="8" t="str">
        <x:v>李白《把酒问月》</x:v>
      </x:c>
      <x:c r="M270" s="8" t="str">
        <x:v>唯愿当歌对酒时，月光长照金樽里。</x:v>
      </x:c>
      <x:c r="N270" s="8" t="str">
        <x:v>原诗从问月想到古今人生；取珍惜相聚的愿望，不宣称杯中真有月影。</x:v>
      </x:c>
      <x:c r="O270" s="8" t="str">
        <x:v>月色入杯、邀饮待客、夜晚小酌</x:v>
      </x:c>
      <x:c r="P270" s="8" t="str">
        <x:v>未限定</x:v>
      </x:c>
      <x:c r="Q270" s="8" t="str">
        <x:v>中秋</x:v>
      </x:c>
      <x:c r="R270" s="8" t="str">
        <x:v>引句后整理</x:v>
      </x:c>
      <x:c r="S270" s="8" t="str">
        <x:v>雅致</x:v>
      </x:c>
      <x:c r="T270" s="8" t="str">
        <x:v>我以茶代酒，心意一样。</x:v>
      </x:c>
      <x:c r="U270" s="8" t="str">
        <x:v>With tea in my cup and the same warm wishes.</x:v>
      </x:c>
      <x:c r="V270" s="8" t="str">
        <x:v>“唯愿当歌对酒时，月光长照金樽里。”今天中秋，先敬愿意来同桌的各位。愿月圆添好意，相聚暖人心，往后来往常有。</x:v>
      </x:c>
      <x:c r="W270" s="8" t="str">
        <x:v>李白说“唯愿当歌对酒时，月光长照金樽里。”。今天中秋，我先借这份好愿欢迎大家。窗外有没有月色都不妨碍这桌团圆，有人肯来，有话可聊，就是过节的好光景。这杯敬各位，愿今夜有欢，来往有情，往后的好日子也常能一起分享。</x:v>
      </x:c>
      <x:c r="X270" s="8" t="str">
        <x:v>spoken</x:v>
      </x:c>
      <x:c r="Y270" s="8" t="str">
        <x:v>verse</x:v>
      </x:c>
      <x:c r="Z270" s="8" t="str"/>
      <x:c r="AA270" s="12" t="str"/>
    </x:row>
    <x:row r="271" ht="57" customHeight="1">
      <x:c r="A271" s="9" t="str">
        <x:v>verse-li-spring</x:v>
      </x:c>
      <x:c r="B271" s="11" t="n">
        <x:v>1</x:v>
      </x:c>
      <x:c r="C271" s="9" t="str">
        <x:v>当前推荐</x:v>
      </x:c>
      <x:c r="D271" s="9" t="str">
        <x:v>我是主人</x:v>
      </x:c>
      <x:c r="E271" s="9" t="str">
        <x:v>全桌</x:v>
      </x:c>
      <x:c r="F271" s="9" t="str">
        <x:v>把雅兴留在席上</x:v>
      </x:c>
      <x:c r="G271" s="9" t="str">
        <x:v>李白写“开琼筵以坐花，飞羽觞而醉月。”今天咱们不必有桃花满园，能有一桌谈笑，就有一席雅兴。来，先欢迎大家。</x:v>
      </x:c>
      <x:c r="H271" s="9" t="str">
        <x:v>“开琼筵以坐花，飞羽觞而醉月。”李白的宴席有花、有月，今天这一桌，最值得高兴的是大家都来了。不用急着说场面话，菜慢慢尝，故事慢慢讲。先敬各位，愿这一席坐得自在，往后的来往也总有兴致。</x:v>
      </x:c>
      <x:c r="I271" s="9" t="str">
        <x:v>Thank you for coming. Let us enjoy the food, take our time with our stories, and make a warm memory together.</x:v>
      </x:c>
      <x:c r="J271" s="9" t="str">
        <x:v>谢谢各位到来，愿慢慢吃饭、从容交谈，留下好记忆。</x:v>
      </x:c>
      <x:c r="K271" s="9" t="str">
        <x:v>poem-li-spring</x:v>
      </x:c>
      <x:c r="L271" s="9" t="str">
        <x:v>李白《春夜宴从弟桃花园序》</x:v>
      </x:c>
      <x:c r="M271" s="9" t="str">
        <x:v>开琼筵以坐花，飞羽觞而醉月。</x:v>
      </x:c>
      <x:c r="N271" s="9" t="str">
        <x:v>羽觞读yǔ shāng，是一种酒杯；在引句后停一下，再说今天的欢迎。 原作是与从弟春夜宴聚的序文；取雅兴与相伴，不搬用罚酒规则，不将散文计为古诗。</x:v>
      </x:c>
      <x:c r="O271" s="9" t="str">
        <x:v>夜晚小酌、邀饮待客、团圆相聚</x:v>
      </x:c>
      <x:c r="P271" s="9" t="str">
        <x:v>未限定</x:v>
      </x:c>
      <x:c r="Q271" s="9" t="str">
        <x:v>未限定</x:v>
      </x:c>
      <x:c r="R271" s="9" t="str">
        <x:v>引句后整理</x:v>
      </x:c>
      <x:c r="S271" s="9" t="str">
        <x:v>雅致</x:v>
      </x:c>
      <x:c r="T271" s="9" t="str">
        <x:v>我以茶代酒，心意一样。</x:v>
      </x:c>
      <x:c r="U271" s="9" t="str">
        <x:v>With tea in my cup and the same warm wishes.</x:v>
      </x:c>
      <x:c r="V271" s="9" t="str">
        <x:v>李白写“开琼筵以坐花，飞羽觞而醉月。”今天咱们不必有桃花满园，能有一桌谈笑，就有一席雅兴。来，先欢迎大家。</x:v>
      </x:c>
      <x:c r="W271" s="9" t="str">
        <x:v>“开琼筵以坐花，飞羽觞而醉月。”李白的宴席有花、有月，今天这一桌，最值得高兴的是大家都来了。不用急着说场面话，菜慢慢尝，故事慢慢讲。先敬各位，愿这一席坐得自在，往后的来往也总有兴致。</x:v>
      </x:c>
      <x:c r="X271" s="9" t="str">
        <x:v>spoken</x:v>
      </x:c>
      <x:c r="Y271" s="9" t="str">
        <x:v>verse</x:v>
      </x:c>
      <x:c r="Z271" s="9" t="str"/>
      <x:c r="AA271" s="12" t="str"/>
    </x:row>
    <x:row r="272" ht="57" customHeight="1">
      <x:c r="A272" s="8" t="str">
        <x:v>verse-wang-lake</x:v>
      </x:c>
      <x:c r="B272" s="10" t="n">
        <x:v>1</x:v>
      </x:c>
      <x:c r="C272" s="8" t="str">
        <x:v>当前推荐</x:v>
      </x:c>
      <x:c r="D272" s="8" t="str">
        <x:v>我是主人</x:v>
      </x:c>
      <x:c r="E272" s="8" t="str">
        <x:v>全桌</x:v>
      </x:c>
      <x:c r="F272" s="8" t="str">
        <x:v>花可以没有，心意不能少</x:v>
      </x:c>
      <x:c r="G272" s="8" t="str">
        <x:v>“当轩对尊酒，四面芙蓉开。”今天没有王维那样的湖亭花景，也想把这份好客的心意送到。谢谢大家来，咱们自在地吃、痛快地聊。</x:v>
      </x:c>
      <x:c r="H272" s="8" t="str">
        <x:v>王维的“当轩对尊酒，四面芙蓉开”，把待客写得很美。今天这一桌，不必与古人的景致相比，我只愿各位坐得舒服，聊得投缘。这杯先欢迎大家，也祝往后常来常往，把平常一顿饭，吃出朋友间的好滋味。</x:v>
      </x:c>
      <x:c r="I272" s="8" t="str">
        <x:v>Welcome, everyone. May a simple meal become a good memory through the pleasure of one another’s company.</x:v>
      </x:c>
      <x:c r="J272" s="8" t="str">
        <x:v>欢迎大家，愿一顿平常饭因为彼此相伴而留下好记忆。</x:v>
      </x:c>
      <x:c r="K272" s="8" t="str">
        <x:v>poem-wang-lake</x:v>
      </x:c>
      <x:c r="L272" s="8" t="str">
        <x:v>王维《临湖亭》</x:v>
      </x:c>
      <x:c r="M272" s="8" t="str">
        <x:v>当轩对尊酒，四面芙蓉开。</x:v>
      </x:c>
      <x:c r="N272" s="8" t="str">
        <x:v>原诗湖亭迎客赏荷；尊为酒器，取好客与雅兴，不虚构现场湖亭和花景。</x:v>
      </x:c>
      <x:c r="O272" s="8" t="str">
        <x:v>邀饮待客、团圆相聚</x:v>
      </x:c>
      <x:c r="P272" s="8" t="str">
        <x:v>未限定</x:v>
      </x:c>
      <x:c r="Q272" s="8" t="str">
        <x:v>未限定</x:v>
      </x:c>
      <x:c r="R272" s="8" t="str">
        <x:v>引句后整理</x:v>
      </x:c>
      <x:c r="S272" s="8" t="str">
        <x:v>雅致</x:v>
      </x:c>
      <x:c r="T272" s="8" t="str">
        <x:v>我以茶代酒，心意一样。</x:v>
      </x:c>
      <x:c r="U272" s="8" t="str">
        <x:v>With tea in my cup and the same warm wishes.</x:v>
      </x:c>
      <x:c r="V272" s="8" t="str">
        <x:v>“当轩对尊酒，四面芙蓉开。”今天没有王维那样的湖亭花景，也想把这份好客的心意送到。谢谢大家来，咱们自在地吃、痛快地聊。</x:v>
      </x:c>
      <x:c r="W272" s="8" t="str">
        <x:v>王维的“当轩对尊酒，四面芙蓉开”，把待客写得很美。今天这一桌，不必与古人的景致相比，我只愿各位坐得舒服，聊得投缘。这杯先欢迎大家，也祝往后常来常往，把平常一顿饭，吃出朋友间的好滋味。</x:v>
      </x:c>
      <x:c r="X272" s="8" t="str">
        <x:v>spoken</x:v>
      </x:c>
      <x:c r="Y272" s="8" t="str">
        <x:v>verse</x:v>
      </x:c>
      <x:c r="Z272" s="8" t="str"/>
      <x:c r="AA272" s="12" t="str"/>
    </x:row>
    <x:row r="273" ht="57" customHeight="1">
      <x:c r="A273" s="9" t="str">
        <x:v>verse-zhang-world</x:v>
      </x:c>
      <x:c r="B273" s="11" t="n">
        <x:v>1</x:v>
      </x:c>
      <x:c r="C273" s="9" t="str">
        <x:v>当前推荐</x:v>
      </x:c>
      <x:c r="D273" s="9" t="str">
        <x:v>我是主人</x:v>
      </x:c>
      <x:c r="E273" s="9" t="str">
        <x:v>全桌</x:v>
      </x:c>
      <x:c r="F273" s="9" t="str">
        <x:v>席可以小，待客的心要宽</x:v>
      </x:c>
      <x:c r="G273" s="9" t="str">
        <x:v>“尽挹西江，细斟北斗，万象为宾客。”古人的想象真开阔。今天这一席，地方不论大小，各位都值得我认真欢迎。来，先敬大家。</x:v>
      </x:c>
      <x:c r="H273" s="9" t="str">
        <x:v>“尽挹西江，细斟北斗，万象为宾客。”张孝祥把天地都请进了一席，气象真好。今天借这一份开阔欢迎各位：这一桌也许不大，愿大家坐得自在，话题聊得开。先敬你们，愿今日有欢，来往有情，以后还常能同席。</x:v>
      </x:c>
      <x:c r="I273" s="9" t="str">
        <x:v>Welcome to this table. May there be room for everyone, generous conversation, and many more gatherings.</x:v>
      </x:c>
      <x:c r="J273" s="9" t="str">
        <x:v>欢迎同桌，愿彼此自在、交谈开阔，以后常有相聚。</x:v>
      </x:c>
      <x:c r="K273" s="9" t="str">
        <x:v>poem-zhang-world</x:v>
      </x:c>
      <x:c r="L273" s="9" t="str">
        <x:v>张孝祥《念奴娇·过洞庭》</x:v>
      </x:c>
      <x:c r="M273" s="9" t="str">
        <x:v>尽挹西江，细斟北斗，万象为宾客。</x:v>
      </x:c>
      <x:c r="N273" s="9" t="str">
        <x:v>挹读yì，舀取；北斗在诗里被想象为酒器；三小句各停一下。 原词泛舟洞庭以江水北斗入想象，意境开阔；不是酒量比喻，不说今日场所就是洞庭。</x:v>
      </x:c>
      <x:c r="O273" s="9" t="str">
        <x:v>月色入杯、邀饮待客、夜晚小酌</x:v>
      </x:c>
      <x:c r="P273" s="9" t="str">
        <x:v>未限定</x:v>
      </x:c>
      <x:c r="Q273" s="9" t="str">
        <x:v>未限定</x:v>
      </x:c>
      <x:c r="R273" s="9" t="str">
        <x:v>引句后整理</x:v>
      </x:c>
      <x:c r="S273" s="9" t="str">
        <x:v>雅致</x:v>
      </x:c>
      <x:c r="T273" s="9" t="str">
        <x:v>我以茶代酒，心意一样。</x:v>
      </x:c>
      <x:c r="U273" s="9" t="str">
        <x:v>With tea in my cup and the same warm wishes.</x:v>
      </x:c>
      <x:c r="V273" s="9" t="str">
        <x:v>“尽挹西江，细斟北斗，万象为宾客。”古人的想象真开阔。今天这一席，地方不论大小，各位都值得我认真欢迎。来，先敬大家。</x:v>
      </x:c>
      <x:c r="W273" s="9" t="str">
        <x:v>“尽挹西江，细斟北斗，万象为宾客。”张孝祥把天地都请进了一席，气象真好。今天借这一份开阔欢迎各位：这一桌也许不大，愿大家坐得自在，话题聊得开。先敬你们，愿今日有欢，来往有情，以后还常能同席。</x:v>
      </x:c>
      <x:c r="X273" s="9" t="str">
        <x:v>spoken</x:v>
      </x:c>
      <x:c r="Y273" s="9" t="str">
        <x:v>verse</x:v>
      </x:c>
      <x:c r="Z273" s="9" t="str"/>
      <x:c r="AA273" s="12" t="str"/>
    </x:row>
    <x:row r="274" ht="57" customHeight="1">
      <x:c r="A274" s="8" t="str">
        <x:v>meeting-01</x:v>
      </x:c>
      <x:c r="B274" s="10" t="n">
        <x:v>1</x:v>
      </x:c>
      <x:c r="C274" s="8" t="str">
        <x:v>当前推荐</x:v>
      </x:c>
      <x:c r="D274" s="8" t="str">
        <x:v>认识新朋友</x:v>
      </x:c>
      <x:c r="E274" s="8" t="str">
        <x:v>全桌</x:v>
      </x:c>
      <x:c r="F274" s="8" t="str">
        <x:v>由初见到相知</x:v>
      </x:c>
      <x:c r="G274" s="8" t="str">
        <x:v>初见是缘，交谈是桥；愿这一席有笑语，往后的日子有好音。
借这一杯，敬大家。</x:v>
      </x:c>
      <x:c r="H274" s="8" t="str">
        <x:v>今天的名字刚刚记下，彼此的故事才开了个头。借这一杯，敬初见的缘分，也祝这份相识：聊得从容，来往自然；此刻有笑语，往后有好音。
借这一杯，敬大家。</x:v>
      </x:c>
      <x:c r="I274" s="8" t="str">
        <x:v>To new faces, good conversation, and friendships that grow naturally.</x:v>
      </x:c>
      <x:c r="J274" s="8" t="str">
        <x:v>敬新相识、好交谈，也愿情谊自然生长。</x:v>
      </x:c>
      <x:c r="K274" s="8" t="str">
        <x:v>rhythm</x:v>
      </x:c>
      <x:c r="L274" s="8" t="str">
        <x:v>把话写给耳朵听</x:v>
      </x:c>
      <x:c r="M274" s="8" t="str"/>
      <x:c r="N274" s="8" t="str">
        <x:v>适合混合社交，不默认异性之间有恋爱意图。</x:v>
      </x:c>
      <x:c r="O274" s="8" t="str">
        <x:v>未限定</x:v>
      </x:c>
      <x:c r="P274" s="8" t="str">
        <x:v>未限定</x:v>
      </x:c>
      <x:c r="Q274" s="8" t="str">
        <x:v>未限定</x:v>
      </x:c>
      <x:c r="R274" s="8" t="str">
        <x:v>依据表达方法整理</x:v>
      </x:c>
      <x:c r="S274" s="8" t="str">
        <x:v>雅致</x:v>
      </x:c>
      <x:c r="T274" s="8" t="str"/>
      <x:c r="U274" s="8" t="str"/>
      <x:c r="V274" s="8" t="str">
        <x:v>初见是缘，交谈是桥；愿这一席有笑语，往后的日子有好音。</x:v>
      </x:c>
      <x:c r="W274" s="8" t="str">
        <x:v>今天的名字刚刚记下，彼此的故事才开了个头。借这一杯，敬初见的缘分，也祝这份相识：聊得从容，来往自然；此刻有笑语，往后有好音。</x:v>
      </x:c>
      <x:c r="X274" s="8" t="str"/>
      <x:c r="Y274" s="8" t="str"/>
      <x:c r="Z274" s="8" t="str"/>
      <x:c r="AA274" s="12" t="str"/>
    </x:row>
    <x:row r="275" ht="57" customHeight="1">
      <x:c r="A275" s="9" t="str">
        <x:v>meeting-02</x:v>
      </x:c>
      <x:c r="B275" s="11" t="n">
        <x:v>1</x:v>
      </x:c>
      <x:c r="C275" s="9" t="str">
        <x:v>当前推荐</x:v>
      </x:c>
      <x:c r="D275" s="9" t="str">
        <x:v>认识新朋友</x:v>
      </x:c>
      <x:c r="E275" s="9" t="str">
        <x:v>全桌</x:v>
      </x:c>
      <x:c r="F275" s="9" t="str">
        <x:v>新名字，新故事</x:v>
      </x:c>
      <x:c r="G275" s="9" t="str">
        <x:v>一席新相识，几分好兴致；愿彼此聊得尽兴，来往随心。
借这一杯，敬大家。</x:v>
      </x:c>
      <x:c r="H275" s="9" t="str">
        <x:v>今天添几个新名字，也听几段新故事。相识不必急，投缘自会近。借这一杯，愿大家聊得尽兴，来往随心；把初见的生分，慢慢换成再见的熟悉。
借这一杯，敬大家。</x:v>
      </x:c>
      <x:c r="I275" s="9" t="str">
        <x:v>Here’s to good conversation and getting to know one another.</x:v>
      </x:c>
      <x:c r="J275" s="9" t="str">
        <x:v>敬愉快交谈，也敬慢慢了解彼此。</x:v>
      </x:c>
      <x:c r="K275" s="9" t="str">
        <x:v>rhythm</x:v>
      </x:c>
      <x:c r="L275" s="9" t="str">
        <x:v>把话写给耳朵听</x:v>
      </x:c>
      <x:c r="M275" s="9" t="str"/>
      <x:c r="N275" s="9" t="str">
        <x:v>“相识不必急”平稳说，不渲染暧昧。</x:v>
      </x:c>
      <x:c r="O275" s="9" t="str">
        <x:v>未限定</x:v>
      </x:c>
      <x:c r="P275" s="9" t="str">
        <x:v>未限定</x:v>
      </x:c>
      <x:c r="Q275" s="9" t="str">
        <x:v>未限定</x:v>
      </x:c>
      <x:c r="R275" s="9" t="str">
        <x:v>依据表达方法整理</x:v>
      </x:c>
      <x:c r="S275" s="9" t="str">
        <x:v>雅致</x:v>
      </x:c>
      <x:c r="T275" s="9" t="str"/>
      <x:c r="U275" s="9" t="str"/>
      <x:c r="V275" s="9" t="str">
        <x:v>一席新相识，几分好兴致；愿彼此聊得尽兴，来往随心。</x:v>
      </x:c>
      <x:c r="W275" s="9" t="str">
        <x:v>今天添几个新名字，也听几段新故事。相识不必急，投缘自会近。借这一杯，愿大家聊得尽兴，来往随心；把初见的生分，慢慢换成再见的熟悉。</x:v>
      </x:c>
      <x:c r="X275" s="9" t="str"/>
      <x:c r="Y275" s="9" t="str"/>
      <x:c r="Z275" s="9" t="str"/>
      <x:c r="AA275" s="12" t="str"/>
    </x:row>
    <x:row r="276" ht="57" customHeight="1">
      <x:c r="A276" s="8" t="str">
        <x:v>meeting-03</x:v>
      </x:c>
      <x:c r="B276" s="10" t="n">
        <x:v>1</x:v>
      </x:c>
      <x:c r="C276" s="8" t="str">
        <x:v>当前推荐</x:v>
      </x:c>
      <x:c r="D276" s="8" t="str">
        <x:v>认识新朋友</x:v>
      </x:c>
      <x:c r="E276" s="8" t="str">
        <x:v>全桌</x:v>
      </x:c>
      <x:c r="F276" s="8" t="str">
        <x:v>先把生分放一放</x:v>
      </x:c>
      <x:c r="G276" s="8" t="str">
        <x:v>名字可以再记一遍，笑声不妨先多一点；敬今天的新相识。
借这一杯，敬大家。</x:v>
      </x:c>
      <x:c r="H276" s="8" t="str">
        <x:v>名字如果没记全，待会儿请允许我再问一遍。先借这一杯，祝大家说话不用打草稿，聊天不用找标准答案。愿今天开个好头，往后见面，都能自然地说声“又见面了”。
借这一杯，敬大家。</x:v>
      </x:c>
      <x:c r="I276" s="8" t="str">
        <x:v>To easy conversation, a few laughs, and meeting again.</x:v>
      </x:c>
      <x:c r="J276" s="8" t="str">
        <x:v>敬轻松交谈、几声欢笑，也盼再会。</x:v>
      </x:c>
      <x:c r="K276" s="8" t="str">
        <x:v>rhythm</x:v>
      </x:c>
      <x:c r="L276" s="8" t="str">
        <x:v>把话写给耳朵听</x:v>
      </x:c>
      <x:c r="M276" s="8" t="str"/>
      <x:c r="N276" s="8" t="str">
        <x:v>轻松破冰，笑点留在自己的记性上。</x:v>
      </x:c>
      <x:c r="O276" s="8" t="str">
        <x:v>未限定</x:v>
      </x:c>
      <x:c r="P276" s="8" t="str">
        <x:v>未限定</x:v>
      </x:c>
      <x:c r="Q276" s="8" t="str">
        <x:v>未限定</x:v>
      </x:c>
      <x:c r="R276" s="8" t="str">
        <x:v>依据表达方法整理</x:v>
      </x:c>
      <x:c r="S276" s="8" t="str">
        <x:v>诙谐</x:v>
      </x:c>
      <x:c r="T276" s="8" t="str"/>
      <x:c r="U276" s="8" t="str"/>
      <x:c r="V276" s="8" t="str">
        <x:v>名字可以再记一遍，笑声不妨先多一点；敬今天的新相识。</x:v>
      </x:c>
      <x:c r="W276" s="8" t="str">
        <x:v>名字如果没记全，待会儿请允许我再问一遍。先借这一杯，祝大家说话不用打草稿，聊天不用找标准答案。愿今天开个好头，往后见面，都能自然地说声“又见面了”。</x:v>
      </x:c>
      <x:c r="X276" s="8" t="str"/>
      <x:c r="Y276" s="8" t="str"/>
      <x:c r="Z276" s="8" t="str"/>
      <x:c r="AA276" s="12" t="str"/>
    </x:row>
    <x:row r="277" ht="72" customHeight="1">
      <x:c r="A277" s="9" t="str">
        <x:v>meeting-verse-02</x:v>
      </x:c>
      <x:c r="B277" s="11" t="n">
        <x:v>1</x:v>
      </x:c>
      <x:c r="C277" s="9" t="str">
        <x:v>当前推荐</x:v>
      </x:c>
      <x:c r="D277" s="9" t="str">
        <x:v>认识新朋友</x:v>
      </x:c>
      <x:c r="E277" s="9" t="str">
        <x:v>全桌</x:v>
      </x:c>
      <x:c r="F277" s="9" t="str">
        <x:v>相知，从此刻开始</x:v>
      </x:c>
      <x:c r="G277" s="9" t="str">
        <x:v>古人说“相知无远近”，愿我们先聊得投缘，再慢慢熟悉。
借这一杯，敬大家。</x:v>
      </x:c>
      <x:c r="H277" s="9" t="str">
        <x:v>张九龄说“相知无远近”。今天我们还在相识的开头，先把这份开阔的心意借来：愿彼此说话从容，听得用心；不急着熟悉，却愿意了解。敬这一席初见，也祝往后各有好音。
借这一杯，敬大家。</x:v>
      </x:c>
      <x:c r="I277" s="9" t="str">
        <x:v>To open minds, attentive listening, and the pleasure of getting acquainted.</x:v>
      </x:c>
      <x:c r="J277" s="9" t="str">
        <x:v>敬开阔的心意、认真倾听，也敬相识之乐。</x:v>
      </x:c>
      <x:c r="K277" s="9" t="str">
        <x:v>zhang</x:v>
      </x:c>
      <x:c r="L277" s="9" t="str">
        <x:v>张九龄《送韦城李少府》</x:v>
      </x:c>
      <x:c r="M277" s="9" t="str">
        <x:v>相知无远近，万里尚为邻。</x:v>
      </x:c>
      <x:c r="N277" s="9" t="str">
        <x:v>明确刚认识，不把送别诗原有知己关系移植给彼此。</x:v>
      </x:c>
      <x:c r="O277" s="9" t="str">
        <x:v>未限定</x:v>
      </x:c>
      <x:c r="P277" s="9" t="str">
        <x:v>未限定</x:v>
      </x:c>
      <x:c r="Q277" s="9" t="str">
        <x:v>未限定</x:v>
      </x:c>
      <x:c r="R277" s="9" t="str">
        <x:v>引句后整理</x:v>
      </x:c>
      <x:c r="S277" s="9" t="str">
        <x:v>雅致</x:v>
      </x:c>
      <x:c r="T277" s="9" t="str"/>
      <x:c r="U277" s="9" t="str"/>
      <x:c r="V277" s="9" t="str">
        <x:v>古人说“相知无远近”，愿我们先聊得投缘，再慢慢熟悉。</x:v>
      </x:c>
      <x:c r="W277" s="9" t="str">
        <x:v>张九龄说“相知无远近”。今天我们还在相识的开头，先把这份开阔的心意借来：愿彼此说话从容，听得用心；不急着熟悉，却愿意了解。敬这一席初见，也祝往后各有好音。</x:v>
      </x:c>
      <x:c r="X277" s="9" t="str"/>
      <x:c r="Y277" s="9" t="str"/>
      <x:c r="Z277" s="9" t="str"/>
      <x:c r="AA277" s="12" t="str"/>
    </x:row>
    <x:row r="278" ht="72" customHeight="1">
      <x:c r="A278" s="8" t="str">
        <x:v>r04-ci-18-2</x:v>
      </x:c>
      <x:c r="B278" s="10" t="n">
        <x:v>1</x:v>
      </x:c>
      <x:c r="C278" s="8" t="str">
        <x:v>当前推荐</x:v>
      </x:c>
      <x:c r="D278" s="8" t="str">
        <x:v>认识新朋友</x:v>
      </x:c>
      <x:c r="E278" s="8" t="str">
        <x:v>全桌</x:v>
      </x:c>
      <x:c r="F278" s="8" t="str">
        <x:v>转过弯就有惊喜 · 再说一句</x:v>
      </x:c>
      <x:c r="G278" s="8" t="str">
        <x:v>初次见面，有时聊着聊着，就发现共同的朋友、共同的爱好。敬这一桌，愿陌生少一点，惊喜多一点。借诗词中的一句：“七八个星天外，两三点雨山前。”</x:v>
      </x:c>
      <x:c r="H278" s="8" t="str">
        <x:v>初次见面，有时聊着聊着，就发现共同的朋友、共同的爱好。敬这一桌，愿陌生少一点，惊喜多一点。
辛弃疾写过：“七八个星天外，两三点雨山前。”这杯敬初识，愿今天聊得投缘，往后来往自然。</x:v>
      </x:c>
      <x:c r="I278" s="8" t="str">
        <x:v>To small surprises that brighten a familiar road. Here is to another good day together.</x:v>
      </x:c>
      <x:c r="J278" s="8" t="str">
        <x:v>愿熟悉的路上，也有小惊喜。也盼再有同聚的好日子。</x:v>
      </x:c>
      <x:c r="K278" s="8" t="str">
        <x:v>r04-ci-18</x:v>
      </x:c>
      <x:c r="L278" s="8" t="str">
        <x:v>辛弃疾《西江月·夜行黄沙道中》</x:v>
      </x:c>
      <x:c r="M278" s="8" t="str">
        <x:v>七八个星天外，两三点雨山前。</x:v>
      </x:c>
      <x:c r="N278" s="8" t="str">
        <x:v>夜行乡间，路转忽见熟悉茅店；取寻常惊喜，不预报现场星雨或实际丰收。</x:v>
      </x:c>
      <x:c r="O278" s="8" t="str">
        <x:v>随席取意、月色入杯、夜晚小酌</x:v>
      </x:c>
      <x:c r="P278" s="8" t="str">
        <x:v>未限定</x:v>
      </x:c>
      <x:c r="Q278" s="8" t="str">
        <x:v>未限定</x:v>
      </x:c>
      <x:c r="R278" s="8" t="str">
        <x:v>引句后整理</x:v>
      </x:c>
      <x:c r="S278" s="8" t="str">
        <x:v>雅致</x:v>
      </x:c>
      <x:c r="T278" s="8" t="str">
        <x:v>我以茶代酒，心意一样真。</x:v>
      </x:c>
      <x:c r="U278" s="8" t="str">
        <x:v>With tea in my cup and the same warm wishes.</x:v>
      </x:c>
      <x:c r="V278" s="8" t="str">
        <x:v>初次见面，有时聊着聊着，就发现共同的朋友、共同的爱好。敬这一桌，愿陌生少一点，惊喜多一点。借诗词中的一句：“七八个星天外，两三点雨山前。”</x:v>
      </x:c>
      <x:c r="W278" s="8" t="str">
        <x:v>初次见面，有时聊着聊着，就发现共同的朋友、共同的爱好。敬这一桌，愿陌生少一点，惊喜多一点。
辛弃疾写过：“七八个星天外，两三点雨山前。”这杯敬初识，愿今天聊得投缘，往后来往自然。</x:v>
      </x:c>
      <x:c r="X278" s="8" t="str">
        <x:v>spoken</x:v>
      </x:c>
      <x:c r="Y278" s="8" t="str">
        <x:v>verse-1</x:v>
      </x:c>
      <x:c r="Z278" s="8" t="str"/>
      <x:c r="AA278" s="12" t="str"/>
    </x:row>
    <x:row r="279" ht="57" customHeight="1">
      <x:c r="A279" s="9" t="str">
        <x:v>r04-ci-25-1</x:v>
      </x:c>
      <x:c r="B279" s="11" t="n">
        <x:v>1</x:v>
      </x:c>
      <x:c r="C279" s="9" t="str">
        <x:v>当前推荐</x:v>
      </x:c>
      <x:c r="D279" s="9" t="str">
        <x:v>认识新朋友</x:v>
      </x:c>
      <x:c r="E279" s="9" t="str">
        <x:v>全桌</x:v>
      </x:c>
      <x:c r="F279" s="9" t="str">
        <x:v>笑着就不生分</x:v>
      </x:c>
      <x:c r="G279" s="9" t="str">
        <x:v>欧阳炯在《南乡子·画舸停桡》里写道：“笑指芭蕉林里住。”古词里的相识，有时只是回过头一笑。今天咱们也不急着把话讲得漂亮，先聊得自然、坐得舒服就好。</x:v>
      </x:c>
      <x:c r="H279" s="9" t="str">
        <x:v>欧阳炯在《南乡子·画舸停桡》里写道：“笑指芭蕉林里住。”古词里的相识，有时只是回过头一笑。今天咱们也不急着把话讲得漂亮，先聊得自然、坐得舒服就好。
这杯敬初识，愿今天聊得投缘，往后来往自然。</x:v>
      </x:c>
      <x:c r="I279" s="9" t="str">
        <x:v>To a natural first conversation and the pleasure of getting acquainted.</x:v>
      </x:c>
      <x:c r="J279" s="9" t="str">
        <x:v>愿初识交谈自然，也享受慢慢认识的过程。</x:v>
      </x:c>
      <x:c r="K279" s="9" t="str">
        <x:v>r04-ci-25</x:v>
      </x:c>
      <x:c r="L279" s="9" t="str">
        <x:v>欧阳炯《南乡子·画舸停桡》</x:v>
      </x:c>
      <x:c r="M279" s="9" t="str">
        <x:v>笑指芭蕉林里住。</x:v>
      </x:c>
      <x:c r="N279" s="9" t="str">
        <x:v>南方水乡人物风情，女指住处；借自然相识，不预设邀约或对方住址。</x:v>
      </x:c>
      <x:c r="O279" s="9" t="str">
        <x:v>随席取意</x:v>
      </x:c>
      <x:c r="P279" s="9" t="str">
        <x:v>未限定</x:v>
      </x:c>
      <x:c r="Q279" s="9" t="str">
        <x:v>未限定</x:v>
      </x:c>
      <x:c r="R279" s="9" t="str">
        <x:v>引句后整理</x:v>
      </x:c>
      <x:c r="S279" s="9" t="str">
        <x:v>雅致</x:v>
      </x:c>
      <x:c r="T279" s="9" t="str">
        <x:v>我以茶代酒，心意一样真。</x:v>
      </x:c>
      <x:c r="U279" s="9" t="str">
        <x:v>With tea in my cup and the same warm wishes.</x:v>
      </x:c>
      <x:c r="V279" s="9" t="str">
        <x:v>欧阳炯在《南乡子·画舸停桡》里写道：“笑指芭蕉林里住。”古词里的相识，有时只是回过头一笑。今天咱们也不急着把话讲得漂亮，先聊得自然、坐得舒服就好。</x:v>
      </x:c>
      <x:c r="W279" s="9" t="str">
        <x:v>欧阳炯在《南乡子·画舸停桡》里写道：“笑指芭蕉林里住。”古词里的相识，有时只是回过头一笑。今天咱们也不急着把话讲得漂亮，先聊得自然、坐得舒服就好。
这杯敬初识，愿今天聊得投缘，往后来往自然。</x:v>
      </x:c>
      <x:c r="X279" s="9" t="str">
        <x:v>spoken</x:v>
      </x:c>
      <x:c r="Y279" s="9" t="str">
        <x:v>verse-0</x:v>
      </x:c>
      <x:c r="Z279" s="9" t="str"/>
      <x:c r="AA279" s="12" t="str"/>
    </x:row>
    <x:row r="280" ht="72" customHeight="1">
      <x:c r="A280" s="8" t="str">
        <x:v>r04-shi-1223-2</x:v>
      </x:c>
      <x:c r="B280" s="10" t="n">
        <x:v>1</x:v>
      </x:c>
      <x:c r="C280" s="8" t="str">
        <x:v>当前推荐</x:v>
      </x:c>
      <x:c r="D280" s="8" t="str">
        <x:v>认识新朋友</x:v>
      </x:c>
      <x:c r="E280" s="8" t="str">
        <x:v>全桌</x:v>
      </x:c>
      <x:c r="F280" s="8" t="str">
        <x:v>一桌见闻一桌笑 · 再说一句</x:v>
      </x:c>
      <x:c r="G280" s="8" t="str">
        <x:v>一桌人带来一桌见闻，不必人人都会讲段子，肯认真听也很珍贵。敬今天相逢，愿彼此都坐得自在。借诗词中的一句：“来游来歌，以矢其音。”</x:v>
      </x:c>
      <x:c r="H280" s="8" t="str">
        <x:v>一桌人带来一桌见闻，不必人人都会讲段子，肯认真听也很珍贵。敬今天相逢，愿彼此都坐得自在。
《诗经》里有一句：“来游来歌，以矢其音。”这杯敬初识，愿今天聊得投缘，往后来往自然。</x:v>
      </x:c>
      <x:c r="I280" s="8" t="str">
        <x:v>To everyone who brings a story and everyone who takes time to listen. Here is to another good day together.</x:v>
      </x:c>
      <x:c r="J280" s="8" t="str">
        <x:v>敬愿意分享故事的人，也敬认真倾听的人。也盼再有同聚的好日子。</x:v>
      </x:c>
      <x:c r="K280" s="8" t="str">
        <x:v>r04-shi-1223</x:v>
      </x:c>
      <x:c r="L280" s="8" t="str">
        <x:v>《诗经·卷阿》</x:v>
      </x:c>
      <x:c r="M280" s="8" t="str">
        <x:v>来游来歌，以矢其音。</x:v>
      </x:c>
      <x:c r="N280" s="8" t="str">
        <x:v>原为颂美、求贤的诗；矢陈述，借相聚歌咏，不挪用君臣身份。</x:v>
      </x:c>
      <x:c r="O280" s="8" t="str">
        <x:v>随席取意</x:v>
      </x:c>
      <x:c r="P280" s="8" t="str">
        <x:v>未限定</x:v>
      </x:c>
      <x:c r="Q280" s="8" t="str">
        <x:v>未限定</x:v>
      </x:c>
      <x:c r="R280" s="8" t="str">
        <x:v>引句后整理</x:v>
      </x:c>
      <x:c r="S280" s="8" t="str">
        <x:v>雅致</x:v>
      </x:c>
      <x:c r="T280" s="8" t="str">
        <x:v>我以茶代酒，心意一样真。</x:v>
      </x:c>
      <x:c r="U280" s="8" t="str">
        <x:v>With tea in my cup and the same warm wishes.</x:v>
      </x:c>
      <x:c r="V280" s="8" t="str">
        <x:v>一桌人带来一桌见闻，不必人人都会讲段子，肯认真听也很珍贵。敬今天相逢，愿彼此都坐得自在。借诗词中的一句：“来游来歌，以矢其音。”</x:v>
      </x:c>
      <x:c r="W280" s="8" t="str">
        <x:v>一桌人带来一桌见闻，不必人人都会讲段子，肯认真听也很珍贵。敬今天相逢，愿彼此都坐得自在。
《诗经》里有一句：“来游来歌，以矢其音。”这杯敬初识，愿今天聊得投缘，往后来往自然。</x:v>
      </x:c>
      <x:c r="X280" s="8" t="str">
        <x:v>spoken</x:v>
      </x:c>
      <x:c r="Y280" s="8" t="str">
        <x:v>verse-3</x:v>
      </x:c>
      <x:c r="Z280" s="8" t="str"/>
      <x:c r="AA280" s="12" t="str"/>
    </x:row>
    <x:row r="281" ht="57" customHeight="1">
      <x:c r="A281" s="9" t="str">
        <x:v>r04-shi-232-1</x:v>
      </x:c>
      <x:c r="B281" s="11" t="n">
        <x:v>1</x:v>
      </x:c>
      <x:c r="C281" s="9" t="str">
        <x:v>当前推荐</x:v>
      </x:c>
      <x:c r="D281" s="9" t="str">
        <x:v>认识新朋友</x:v>
      </x:c>
      <x:c r="E281" s="9" t="str">
        <x:v>全桌</x:v>
      </x:c>
      <x:c r="F281" s="9" t="str">
        <x:v>玩笑有分寸</x:v>
      </x:c>
      <x:c r="G281" s="9" t="str">
        <x:v>《诗经·淇奥》写道：“善戏谑兮，不为虐兮。”古人连开玩笑都讲分寸。今天咱们放松聊，笑话可以多，叫人难堪的话就免了。</x:v>
      </x:c>
      <x:c r="H281" s="9" t="str">
        <x:v>《诗经·淇奥》写道：“善戏谑兮，不为虐兮。”古人连开玩笑都讲分寸。今天咱们放松聊，笑话可以多，叫人难堪的话就免了。
这杯敬初识，愿今天聊得投缘，往后来往自然。</x:v>
      </x:c>
      <x:c r="I281" s="9" t="str">
        <x:v>To laughter that includes everyone and never comes at another person's expense.</x:v>
      </x:c>
      <x:c r="J281" s="9" t="str">
        <x:v>愿笑声让人亲近，不让任何人为难。</x:v>
      </x:c>
      <x:c r="K281" s="9" t="str">
        <x:v>r04-shi-232</x:v>
      </x:c>
      <x:c r="L281" s="9" t="str">
        <x:v>《诗经·淇奥》</x:v>
      </x:c>
      <x:c r="M281" s="9" t="str">
        <x:v>善戏谑兮，不为虐兮。</x:v>
      </x:c>
      <x:c r="N281" s="9" t="str">
        <x:v>赞美君子的修养与谈吐；取幽默有分寸，不拿人取笑。</x:v>
      </x:c>
      <x:c r="O281" s="9" t="str">
        <x:v>随席取意</x:v>
      </x:c>
      <x:c r="P281" s="9" t="str">
        <x:v>未限定</x:v>
      </x:c>
      <x:c r="Q281" s="9" t="str">
        <x:v>未限定</x:v>
      </x:c>
      <x:c r="R281" s="9" t="str">
        <x:v>引句后整理</x:v>
      </x:c>
      <x:c r="S281" s="9" t="str">
        <x:v>雅致</x:v>
      </x:c>
      <x:c r="T281" s="9" t="str">
        <x:v>我以茶代酒，心意一样真。</x:v>
      </x:c>
      <x:c r="U281" s="9" t="str">
        <x:v>With tea in my cup and the same warm wishes.</x:v>
      </x:c>
      <x:c r="V281" s="9" t="str">
        <x:v>《诗经·淇奥》写道：“善戏谑兮，不为虐兮。”古人连开玩笑都讲分寸。今天咱们放松聊，笑话可以多，叫人难堪的话就免了。</x:v>
      </x:c>
      <x:c r="W281" s="9" t="str">
        <x:v>《诗经·淇奥》写道：“善戏谑兮，不为虐兮。”古人连开玩笑都讲分寸。今天咱们放松聊，笑话可以多，叫人难堪的话就免了。
这杯敬初识，愿今天聊得投缘，往后来往自然。</x:v>
      </x:c>
      <x:c r="X281" s="9" t="str">
        <x:v>spoken</x:v>
      </x:c>
      <x:c r="Y281" s="9" t="str">
        <x:v>verse-1</x:v>
      </x:c>
      <x:c r="Z281" s="9" t="str"/>
      <x:c r="AA281" s="12" t="str"/>
    </x:row>
    <x:row r="282" ht="72" customHeight="1">
      <x:c r="A282" s="8" t="str">
        <x:v>r04-shi-369-2</x:v>
      </x:c>
      <x:c r="B282" s="10" t="n">
        <x:v>1</x:v>
      </x:c>
      <x:c r="C282" s="8" t="str">
        <x:v>当前推荐</x:v>
      </x:c>
      <x:c r="D282" s="8" t="str">
        <x:v>认识新朋友</x:v>
      </x:c>
      <x:c r="E282" s="8" t="str">
        <x:v>全桌</x:v>
      </x:c>
      <x:c r="F282" s="8" t="str">
        <x:v>初见不急着说满 · 再说一句</x:v>
      </x:c>
      <x:c r="G282" s="8" t="str">
        <x:v>相识不用先找个宏大的理由，聊得投缘就很好。敬今天这一面，愿以后见了，还能自然地打声招呼。借诗词中的一句：“邂逅相遇，适我愿兮。”</x:v>
      </x:c>
      <x:c r="H282" s="8" t="str">
        <x:v>相识不用先找个宏大的理由，聊得投缘就很好。敬今天这一面，愿以后见了，还能自然地打声招呼。
《诗经》里有一句：“邂逅相遇，适我愿兮。”这杯敬初识，愿今天聊得投缘，往后来往自然。</x:v>
      </x:c>
      <x:c r="I282" s="8" t="str">
        <x:v>To an unexpected meeting and an unhurried beginning. Here is to another good day together.</x:v>
      </x:c>
      <x:c r="J282" s="8" t="str">
        <x:v>敬不期而遇，也愿开始从容。也盼再有同聚的好日子。</x:v>
      </x:c>
      <x:c r="K282" s="8" t="str">
        <x:v>r04-shi-369</x:v>
      </x:c>
      <x:c r="L282" s="8" t="str">
        <x:v>《诗经·野有蔓草》</x:v>
      </x:c>
      <x:c r="M282" s="8" t="str">
        <x:v>邂逅相遇，适我愿兮。</x:v>
      </x:c>
      <x:c r="N282" s="8" t="str">
        <x:v>男女相遇的情歌；初识只取相逢之喜，不替对方表白。</x:v>
      </x:c>
      <x:c r="O282" s="8" t="str">
        <x:v>随席取意</x:v>
      </x:c>
      <x:c r="P282" s="8" t="str">
        <x:v>未限定</x:v>
      </x:c>
      <x:c r="Q282" s="8" t="str">
        <x:v>未限定</x:v>
      </x:c>
      <x:c r="R282" s="8" t="str">
        <x:v>引句后整理</x:v>
      </x:c>
      <x:c r="S282" s="8" t="str">
        <x:v>雅致</x:v>
      </x:c>
      <x:c r="T282" s="8" t="str">
        <x:v>我以茶代酒，心意一样真。</x:v>
      </x:c>
      <x:c r="U282" s="8" t="str">
        <x:v>With tea in my cup and the same warm wishes.</x:v>
      </x:c>
      <x:c r="V282" s="8" t="str">
        <x:v>相识不用先找个宏大的理由，聊得投缘就很好。敬今天这一面，愿以后见了，还能自然地打声招呼。借诗词中的一句：“邂逅相遇，适我愿兮。”</x:v>
      </x:c>
      <x:c r="W282" s="8" t="str">
        <x:v>相识不用先找个宏大的理由，聊得投缘就很好。敬今天这一面，愿以后见了，还能自然地打声招呼。
《诗经》里有一句：“邂逅相遇，适我愿兮。”这杯敬初识，愿今天聊得投缘，往后来往自然。</x:v>
      </x:c>
      <x:c r="X282" s="8" t="str">
        <x:v>spoken</x:v>
      </x:c>
      <x:c r="Y282" s="8" t="str">
        <x:v>verse-2</x:v>
      </x:c>
      <x:c r="Z282" s="8" t="str"/>
      <x:c r="AA282" s="12" t="str"/>
    </x:row>
    <x:row r="283" ht="72" customHeight="1">
      <x:c r="A283" s="9" t="str">
        <x:v>r04-shi-649-2</x:v>
      </x:c>
      <x:c r="B283" s="11" t="n">
        <x:v>1</x:v>
      </x:c>
      <x:c r="C283" s="9" t="str">
        <x:v>当前推荐</x:v>
      </x:c>
      <x:c r="D283" s="9" t="str">
        <x:v>认识新朋友</x:v>
      </x:c>
      <x:c r="E283" s="9" t="str">
        <x:v>全桌</x:v>
      </x:c>
      <x:c r="F283" s="9" t="str">
        <x:v>朋友有话肯听 · 再说一句</x:v>
      </x:c>
      <x:c r="G283" s="9" t="str">
        <x:v>第一次见面，先找一两件都爱聊的事就好。愿今天聊得投缘，往后有空，再把这一桌约起来。借诗词中的一句：“嘤其鸣矣，求其友声。”</x:v>
      </x:c>
      <x:c r="H283" s="9" t="str">
        <x:v>第一次见面，先找一两件都爱聊的事就好。愿今天聊得投缘，往后有空，再把这一桌约起来。
《诗经·伐木》写道：“嘤其鸣矣，求其友声。”这杯敬初识，愿今天聊得投缘，往后来往自然。</x:v>
      </x:c>
      <x:c r="I283" s="9" t="str">
        <x:v>To friends who listen to both our good news and our difficult days. Here is to another good day together.</x:v>
      </x:c>
      <x:c r="J283" s="9" t="str">
        <x:v>敬肯听喜讯、也肯听烦恼的朋友。也盼再有同聚的好日子。</x:v>
      </x:c>
      <x:c r="K283" s="9" t="str">
        <x:v>r04-shi-649</x:v>
      </x:c>
      <x:c r="L283" s="9" t="str">
        <x:v>《诗经·伐木》</x:v>
      </x:c>
      <x:c r="M283" s="9" t="str">
        <x:v>嘤其鸣矣，求其友声。</x:v>
      </x:c>
      <x:c r="N283" s="9" t="str">
        <x:v>宴请亲朋故旧；友声为同类之声，不等同于只听赞同自己的话。</x:v>
      </x:c>
      <x:c r="O283" s="9" t="str">
        <x:v>随席取意</x:v>
      </x:c>
      <x:c r="P283" s="9" t="str">
        <x:v>未限定</x:v>
      </x:c>
      <x:c r="Q283" s="9" t="str">
        <x:v>未限定</x:v>
      </x:c>
      <x:c r="R283" s="9" t="str">
        <x:v>引句后整理</x:v>
      </x:c>
      <x:c r="S283" s="9" t="str">
        <x:v>雅致</x:v>
      </x:c>
      <x:c r="T283" s="9" t="str">
        <x:v>我以茶代酒，心意一样真。</x:v>
      </x:c>
      <x:c r="U283" s="9" t="str">
        <x:v>With tea in my cup and the same warm wishes.</x:v>
      </x:c>
      <x:c r="V283" s="9" t="str">
        <x:v>第一次见面，先找一两件都爱聊的事就好。愿今天聊得投缘，往后有空，再把这一桌约起来。借诗词中的一句：“嘤其鸣矣，求其友声。”</x:v>
      </x:c>
      <x:c r="W283" s="9" t="str">
        <x:v>第一次见面，先找一两件都爱聊的事就好。愿今天聊得投缘，往后有空，再把这一桌约起来。
《诗经·伐木》写道：“嘤其鸣矣，求其友声。”这杯敬初识，愿今天聊得投缘，往后来往自然。</x:v>
      </x:c>
      <x:c r="X283" s="9" t="str">
        <x:v>spoken</x:v>
      </x:c>
      <x:c r="Y283" s="9" t="str">
        <x:v>verse-2</x:v>
      </x:c>
      <x:c r="Z283" s="9" t="str"/>
      <x:c r="AA283" s="12" t="str"/>
    </x:row>
    <x:row r="284" ht="72" customHeight="1">
      <x:c r="A284" s="8" t="str">
        <x:v>r04-shi-758-2</x:v>
      </x:c>
      <x:c r="B284" s="10" t="n">
        <x:v>1</x:v>
      </x:c>
      <x:c r="C284" s="8" t="str">
        <x:v>当前推荐</x:v>
      </x:c>
      <x:c r="D284" s="8" t="str">
        <x:v>认识新朋友</x:v>
      </x:c>
      <x:c r="E284" s="8" t="str">
        <x:v>全桌</x:v>
      </x:c>
      <x:c r="F284" s="8" t="str">
        <x:v>切磋不必客套 · 再说一句</x:v>
      </x:c>
      <x:c r="G284" s="8" t="str">
        <x:v>初次见面，各自带着不同的见闻，正好互相长点知识。敬今天的交流，愿聊完都带走一点新鲜的收获。借诗词中的一句：“他山之石，可以为错。”</x:v>
      </x:c>
      <x:c r="H284" s="8" t="str">
        <x:v>初次见面，各自带着不同的见闻，正好互相长点知识。敬今天的交流，愿聊完都带走一点新鲜的收获。
《诗经·鹤鸣》写道：“他山之石，可以为错。”这杯敬初识，愿今天聊得投缘，往后来往自然。</x:v>
      </x:c>
      <x:c r="I284" s="8" t="str">
        <x:v>To learning from one another without pretending to know everything. Here is to another good day together.</x:v>
      </x:c>
      <x:c r="J284" s="8" t="str">
        <x:v>愿彼此学习，不必装作无所不知。也盼再有同聚的好日子。</x:v>
      </x:c>
      <x:c r="K284" s="8" t="str">
        <x:v>r04-shi-758</x:v>
      </x:c>
      <x:c r="L284" s="8" t="str">
        <x:v>《诗经·鹤鸣》</x:v>
      </x:c>
      <x:c r="M284" s="8" t="str">
        <x:v>他山之石，可以为错。</x:v>
      </x:c>
      <x:c r="N284" s="8" t="str">
        <x:v>错为磨石；借切磋与借鉴，不把对方比为缺陷或顽石。</x:v>
      </x:c>
      <x:c r="O284" s="8" t="str">
        <x:v>随席取意</x:v>
      </x:c>
      <x:c r="P284" s="8" t="str">
        <x:v>未限定</x:v>
      </x:c>
      <x:c r="Q284" s="8" t="str">
        <x:v>未限定</x:v>
      </x:c>
      <x:c r="R284" s="8" t="str">
        <x:v>引句后整理</x:v>
      </x:c>
      <x:c r="S284" s="8" t="str">
        <x:v>雅致</x:v>
      </x:c>
      <x:c r="T284" s="8" t="str">
        <x:v>我以茶代酒，心意一样真。</x:v>
      </x:c>
      <x:c r="U284" s="8" t="str">
        <x:v>With tea in my cup and the same warm wishes.</x:v>
      </x:c>
      <x:c r="V284" s="8" t="str">
        <x:v>初次见面，各自带着不同的见闻，正好互相长点知识。敬今天的交流，愿聊完都带走一点新鲜的收获。借诗词中的一句：“他山之石，可以为错。”</x:v>
      </x:c>
      <x:c r="W284" s="8" t="str">
        <x:v>初次见面，各自带着不同的见闻，正好互相长点知识。敬今天的交流，愿聊完都带走一点新鲜的收获。
《诗经·鹤鸣》写道：“他山之石，可以为错。”这杯敬初识，愿今天聊得投缘，往后来往自然。</x:v>
      </x:c>
      <x:c r="X284" s="8" t="str">
        <x:v>spoken</x:v>
      </x:c>
      <x:c r="Y284" s="8" t="str">
        <x:v>verse-3</x:v>
      </x:c>
      <x:c r="Z284" s="8" t="str"/>
      <x:c r="AA284" s="12" t="str"/>
    </x:row>
    <x:row r="285" ht="72" customHeight="1">
      <x:c r="A285" s="9" t="str">
        <x:v>r04-shi-987-2</x:v>
      </x:c>
      <x:c r="B285" s="11" t="n">
        <x:v>1</x:v>
      </x:c>
      <x:c r="C285" s="9" t="str">
        <x:v>当前推荐</x:v>
      </x:c>
      <x:c r="D285" s="9" t="str">
        <x:v>认识新朋友</x:v>
      </x:c>
      <x:c r="E285" s="9" t="str">
        <x:v>全桌</x:v>
      </x:c>
      <x:c r="F285" s="9" t="str">
        <x:v>不比高低比自在 · 再说一句</x:v>
      </x:c>
      <x:c r="G285" s="9" t="str">
        <x:v>刚认识，不急着比见识、比高低。先听你说，也把自己讲明白，愿这一桌相处得轻松又舒服。借诗词中的一句：“彼交匪敖，万福来求。”</x:v>
      </x:c>
      <x:c r="H285" s="9" t="str">
        <x:v>刚认识，不急着比见识、比高低。先听你说，也把自己讲明白，愿这一桌相处得轻松又舒服。
《诗经》里有一句：“彼交匪敖，万福来求。”这杯敬初识，愿今天聊得投缘，往后来往自然。</x:v>
      </x:c>
      <x:c r="I285" s="9" t="str">
        <x:v>To treating one another with warmth, curiosity, and respect. Here is to another good day together.</x:v>
      </x:c>
      <x:c r="J285" s="9" t="str">
        <x:v>愿彼此温暖相待，保有好奇，也懂尊重。也盼再有同聚的好日子。</x:v>
      </x:c>
      <x:c r="K285" s="9" t="str">
        <x:v>r04-shi-987</x:v>
      </x:c>
      <x:c r="L285" s="9" t="str">
        <x:v>《诗经·桑扈》</x:v>
      </x:c>
      <x:c r="M285" s="9" t="str">
        <x:v>彼交匪敖，万福来求。</x:v>
      </x:c>
      <x:c r="N285" s="9" t="str">
        <x:v>天子宴诸侯兼有告诫；借不傲慢、相互尊重，不许诺饮酒得福。</x:v>
      </x:c>
      <x:c r="O285" s="9" t="str">
        <x:v>随席取意</x:v>
      </x:c>
      <x:c r="P285" s="9" t="str">
        <x:v>未限定</x:v>
      </x:c>
      <x:c r="Q285" s="9" t="str">
        <x:v>未限定</x:v>
      </x:c>
      <x:c r="R285" s="9" t="str">
        <x:v>引句后整理</x:v>
      </x:c>
      <x:c r="S285" s="9" t="str">
        <x:v>雅致</x:v>
      </x:c>
      <x:c r="T285" s="9" t="str">
        <x:v>我以茶代酒，心意一样真。</x:v>
      </x:c>
      <x:c r="U285" s="9" t="str">
        <x:v>With tea in my cup and the same warm wishes.</x:v>
      </x:c>
      <x:c r="V285" s="9" t="str">
        <x:v>刚认识，不急着比见识、比高低。先听你说，也把自己讲明白，愿这一桌相处得轻松又舒服。借诗词中的一句：“彼交匪敖，万福来求。”</x:v>
      </x:c>
      <x:c r="W285" s="9" t="str">
        <x:v>刚认识，不急着比见识、比高低。先听你说，也把自己讲明白，愿这一桌相处得轻松又舒服。
《诗经》里有一句：“彼交匪敖，万福来求。”这杯敬初识，愿今天聊得投缘，往后来往自然。</x:v>
      </x:c>
      <x:c r="X285" s="9" t="str">
        <x:v>spoken</x:v>
      </x:c>
      <x:c r="Y285" s="9" t="str">
        <x:v>verse-1</x:v>
      </x:c>
      <x:c r="Z285" s="9" t="str"/>
      <x:c r="AA285" s="12" t="str"/>
    </x:row>
    <x:row r="286" ht="72" customHeight="1">
      <x:c r="A286" s="8" t="str">
        <x:v>r04-story-06-2</x:v>
      </x:c>
      <x:c r="B286" s="10" t="n">
        <x:v>1</x:v>
      </x:c>
      <x:c r="C286" s="8" t="str">
        <x:v>当前推荐</x:v>
      </x:c>
      <x:c r="D286" s="8" t="str">
        <x:v>认识新朋友</x:v>
      </x:c>
      <x:c r="E286" s="8" t="str">
        <x:v>全桌</x:v>
      </x:c>
      <x:c r="F286" s="8" t="str">
        <x:v>不比家底比自在 · 再说一句</x:v>
      </x:c>
      <x:c r="G286" s="8" t="str">
        <x:v>初次见面，不妨先把那些标签放一放。敬今天相识，愿聊到彼此真正喜欢的事，也留下一点好印象。借这则旧事的一句：“恭作人无长物。”</x:v>
      </x:c>
      <x:c r="H286" s="8" t="str">
        <x:v>初次见面，不妨先把那些标签放一放。敬今天相识，愿聊到彼此真正喜欢的事，也留下一点好印象。
《世说新语》里记载：“恭作人无长物。”这杯敬初识，愿今天聊得投缘，往后来往自然。</x:v>
      </x:c>
      <x:c r="I286" s="8" t="str">
        <x:v>To friendship without a contest of wealth or appearances. Here is to another good day together.</x:v>
      </x:c>
      <x:c r="J286" s="8" t="str">
        <x:v>愿朋友相处，不必比较财富与排场。也盼再有同聚的好日子。</x:v>
      </x:c>
      <x:c r="K286" s="8" t="str">
        <x:v>r04-story-06</x:v>
      </x:c>
      <x:c r="L286" s="8" t="str">
        <x:v>《世说新语·德行第四十四则》王恭身无长物</x:v>
      </x:c>
      <x:c r="M286" s="8" t="str">
        <x:v>恭作人无长物。</x:v>
      </x:c>
      <x:c r="N286" s="8" t="str">
        <x:v>长物指多余之物，不是没有长处；不提倡为人情牺牲生活必需。</x:v>
      </x:c>
      <x:c r="O286" s="8" t="str">
        <x:v>随席取意</x:v>
      </x:c>
      <x:c r="P286" s="8" t="str">
        <x:v>未限定</x:v>
      </x:c>
      <x:c r="Q286" s="8" t="str">
        <x:v>未限定</x:v>
      </x:c>
      <x:c r="R286" s="8" t="str">
        <x:v>引句后整理</x:v>
      </x:c>
      <x:c r="S286" s="8" t="str">
        <x:v>雅致</x:v>
      </x:c>
      <x:c r="T286" s="8" t="str">
        <x:v>我以茶代酒，心意一样真。</x:v>
      </x:c>
      <x:c r="U286" s="8" t="str">
        <x:v>With tea in my cup and the same warm wishes.</x:v>
      </x:c>
      <x:c r="V286" s="8" t="str">
        <x:v>初次见面，不妨先把那些标签放一放。敬今天相识，愿聊到彼此真正喜欢的事，也留下一点好印象。借这则旧事的一句：“恭作人无长物。”</x:v>
      </x:c>
      <x:c r="W286" s="8" t="str">
        <x:v>初次见面，不妨先把那些标签放一放。敬今天相识，愿聊到彼此真正喜欢的事，也留下一点好印象。
《世说新语》里记载：“恭作人无长物。”这杯敬初识，愿今天聊得投缘，往后来往自然。</x:v>
      </x:c>
      <x:c r="X286" s="8" t="str">
        <x:v>spoken</x:v>
      </x:c>
      <x:c r="Y286" s="8" t="str">
        <x:v>story-1</x:v>
      </x:c>
      <x:c r="Z286" s="8" t="str"/>
      <x:c r="AA286" s="12" t="str"/>
    </x:row>
    <x:row r="287" ht="72" customHeight="1">
      <x:c r="A287" s="9" t="str">
        <x:v>r04-story-09-2</x:v>
      </x:c>
      <x:c r="B287" s="11" t="n">
        <x:v>1</x:v>
      </x:c>
      <x:c r="C287" s="9" t="str">
        <x:v>当前推荐</x:v>
      </x:c>
      <x:c r="D287" s="9" t="str">
        <x:v>认识新朋友</x:v>
      </x:c>
      <x:c r="E287" s="9" t="str">
        <x:v>全桌</x:v>
      </x:c>
      <x:c r="F287" s="9" t="str">
        <x:v>多看一点好光景 · 再说一句</x:v>
      </x:c>
      <x:c r="G287" s="9" t="str">
        <x:v>各位来自不同的生活，正好带来不同的见闻。敬今天相遇，愿这一桌聊完，大家都多看见一点世界。借这则旧事的一句：“山川自相映发，使人应接不暇。”</x:v>
      </x:c>
      <x:c r="H287" s="9" t="str">
        <x:v>各位来自不同的生活，正好带来不同的见闻。敬今天相遇，愿这一桌聊完，大家都多看见一点世界。
《世说新语》里记载：“山川自相映发，使人应接不暇。”这杯敬初识，愿今天聊得投缘，往后来往自然。</x:v>
      </x:c>
      <x:c r="I287" s="9" t="str">
        <x:v>To seeing more of the world and sharing what we find. Here is to another good day together.</x:v>
      </x:c>
      <x:c r="J287" s="9" t="str">
        <x:v>愿多看世界，也愿分享见闻。也盼再有同聚的好日子。</x:v>
      </x:c>
      <x:c r="K287" s="9" t="str">
        <x:v>r04-story-09</x:v>
      </x:c>
      <x:c r="L287" s="9" t="str">
        <x:v>《世说新语·言语第九十一则》王子敬山阴道</x:v>
      </x:c>
      <x:c r="M287" s="9" t="str">
        <x:v>山川自相映发，使人应接不暇。</x:v>
      </x:c>
      <x:c r="N287" s="9" t="str">
        <x:v>描绘山阴山水，秋冬仍好；借眼界与生活兴味，不把饭桌说在山阴。</x:v>
      </x:c>
      <x:c r="O287" s="9" t="str">
        <x:v>随席取意</x:v>
      </x:c>
      <x:c r="P287" s="9" t="str">
        <x:v>未限定</x:v>
      </x:c>
      <x:c r="Q287" s="9" t="str">
        <x:v>未限定</x:v>
      </x:c>
      <x:c r="R287" s="9" t="str">
        <x:v>引句后整理</x:v>
      </x:c>
      <x:c r="S287" s="9" t="str">
        <x:v>雅致</x:v>
      </x:c>
      <x:c r="T287" s="9" t="str">
        <x:v>我以茶代酒，心意一样真。</x:v>
      </x:c>
      <x:c r="U287" s="9" t="str">
        <x:v>With tea in my cup and the same warm wishes.</x:v>
      </x:c>
      <x:c r="V287" s="9" t="str">
        <x:v>各位来自不同的生活，正好带来不同的见闻。敬今天相遇，愿这一桌聊完，大家都多看见一点世界。借这则旧事的一句：“山川自相映发，使人应接不暇。”</x:v>
      </x:c>
      <x:c r="W287" s="9" t="str">
        <x:v>各位来自不同的生活，正好带来不同的见闻。敬今天相遇，愿这一桌聊完，大家都多看见一点世界。
《世说新语》里记载：“山川自相映发，使人应接不暇。”这杯敬初识，愿今天聊得投缘，往后来往自然。</x:v>
      </x:c>
      <x:c r="X287" s="9" t="str">
        <x:v>spoken</x:v>
      </x:c>
      <x:c r="Y287" s="9" t="str">
        <x:v>story-0</x:v>
      </x:c>
      <x:c r="Z287" s="9" t="str"/>
      <x:c r="AA287" s="12" t="str"/>
    </x:row>
    <x:row r="288" ht="72" customHeight="1">
      <x:c r="A288" s="8" t="str">
        <x:v>r04-story-14-2</x:v>
      </x:c>
      <x:c r="B288" s="10" t="n">
        <x:v>1</x:v>
      </x:c>
      <x:c r="C288" s="8" t="str">
        <x:v>当前推荐</x:v>
      </x:c>
      <x:c r="D288" s="8" t="str">
        <x:v>认识新朋友</x:v>
      </x:c>
      <x:c r="E288" s="8" t="str">
        <x:v>全桌</x:v>
      </x:c>
      <x:c r="F288" s="8" t="str">
        <x:v>不想说的也可以不说 · 再说一句</x:v>
      </x:c>
      <x:c r="G288" s="8" t="str">
        <x:v>初次见面，不用把履历、近况都答得齐齐整整。愿大家聊得自然，有想分享的就说，有不想说的也能被尊重。借这则旧事的一句：“虽信宿中涂，竟不言及此事。”</x:v>
      </x:c>
      <x:c r="H288" s="8" t="str">
        <x:v>初次见面，不用把履历、近况都答得齐齐整整。愿大家聊得自然，有想分享的就说，有不想说的也能被尊重。
《世说新语》里记载：“虽信宿中涂，竟不言及此事。”这杯敬初识，愿今天聊得投缘，往后来往自然。</x:v>
      </x:c>
      <x:c r="I288" s="8" t="str">
        <x:v>To company that respects what we choose to share and what we keep private. Here is to another good day together.</x:v>
      </x:c>
      <x:c r="J288" s="8" t="str">
        <x:v>愿相处尊重彼此愿意说的，也尊重不想说的。也盼再有同聚的好日子。</x:v>
      </x:c>
      <x:c r="K288" s="8" t="str">
        <x:v>r04-story-14</x:v>
      </x:c>
      <x:c r="L288" s="8" t="str">
        <x:v>《世说新语·雅量第三十三则》谢奉避谈失官</x:v>
      </x:c>
      <x:c r="M288" s="8" t="str">
        <x:v>虽信宿中涂，竟不言及此事。</x:v>
      </x:c>
      <x:c r="N288" s="8" t="str">
        <x:v>笺疏对时序提出疑问；借尊重别人谈话边界，不默认今天有人失职。</x:v>
      </x:c>
      <x:c r="O288" s="8" t="str">
        <x:v>随席取意</x:v>
      </x:c>
      <x:c r="P288" s="8" t="str">
        <x:v>未限定</x:v>
      </x:c>
      <x:c r="Q288" s="8" t="str">
        <x:v>未限定</x:v>
      </x:c>
      <x:c r="R288" s="8" t="str">
        <x:v>引句后整理</x:v>
      </x:c>
      <x:c r="S288" s="8" t="str">
        <x:v>雅致</x:v>
      </x:c>
      <x:c r="T288" s="8" t="str">
        <x:v>我以茶代酒，心意一样真。</x:v>
      </x:c>
      <x:c r="U288" s="8" t="str">
        <x:v>With tea in my cup and the same warm wishes.</x:v>
      </x:c>
      <x:c r="V288" s="8" t="str">
        <x:v>初次见面，不用把履历、近况都答得齐齐整整。愿大家聊得自然，有想分享的就说，有不想说的也能被尊重。借这则旧事的一句：“虽信宿中涂，竟不言及此事。”</x:v>
      </x:c>
      <x:c r="W288" s="8" t="str">
        <x:v>初次见面，不用把履历、近况都答得齐齐整整。愿大家聊得自然，有想分享的就说，有不想说的也能被尊重。
《世说新语》里记载：“虽信宿中涂，竟不言及此事。”这杯敬初识，愿今天聊得投缘，往后来往自然。</x:v>
      </x:c>
      <x:c r="X288" s="8" t="str">
        <x:v>spoken</x:v>
      </x:c>
      <x:c r="Y288" s="8" t="str">
        <x:v>story-1</x:v>
      </x:c>
      <x:c r="Z288" s="8" t="str"/>
      <x:c r="AA288" s="12" t="str"/>
    </x:row>
    <x:row r="289" ht="57" customHeight="1">
      <x:c r="A289" s="9" t="str">
        <x:v>r04-story-15-1</x:v>
      </x:c>
      <x:c r="B289" s="11" t="n">
        <x:v>1</x:v>
      </x:c>
      <x:c r="C289" s="9" t="str">
        <x:v>当前推荐</x:v>
      </x:c>
      <x:c r="D289" s="9" t="str">
        <x:v>认识新朋友</x:v>
      </x:c>
      <x:c r="E289" s="9" t="str">
        <x:v>全桌</x:v>
      </x:c>
      <x:c r="F289" s="9" t="str">
        <x:v>聊点真正喜欢的</x:v>
      </x:c>
      <x:c r="G289" s="9" t="str">
        <x:v>《世说新语》里记载：“而谈琴书愈妙。”古人聊琴书，也能聊出对彼此的新认识。今天各位有什么真喜欢的，不妨说说；愿这一桌有新见闻，也有好笑声。</x:v>
      </x:c>
      <x:c r="H289" s="9" t="str">
        <x:v>《世说新语》里记载：“而谈琴书愈妙。”古人聊琴书，也能聊出对彼此的新认识。今天各位有什么真喜欢的，不妨说说；愿这一桌有新见闻，也有好笑声。
这杯敬初识，愿今天聊得投缘，往后来往自然。</x:v>
      </x:c>
      <x:c r="I289" s="9" t="str">
        <x:v>To discovering the things another person truly enjoys.</x:v>
      </x:c>
      <x:c r="J289" s="9" t="str">
        <x:v>愿慢慢发现另一个人真正喜欢的事。</x:v>
      </x:c>
      <x:c r="K289" s="9" t="str">
        <x:v>r04-story-15</x:v>
      </x:c>
      <x:c r="L289" s="9" t="str">
        <x:v>《世说新语·雅量第三十四则》戴逵谈琴书</x:v>
      </x:c>
      <x:c r="M289" s="9" t="str">
        <x:v>而谈琴书愈妙。</x:v>
      </x:c>
      <x:c r="N289" s="9" t="str">
        <x:v>借从容分享所爱，不赞美轻视他人的试探；今天不预设双方有高下。</x:v>
      </x:c>
      <x:c r="O289" s="9" t="str">
        <x:v>随席取意</x:v>
      </x:c>
      <x:c r="P289" s="9" t="str">
        <x:v>未限定</x:v>
      </x:c>
      <x:c r="Q289" s="9" t="str">
        <x:v>未限定</x:v>
      </x:c>
      <x:c r="R289" s="9" t="str">
        <x:v>引句后整理</x:v>
      </x:c>
      <x:c r="S289" s="9" t="str">
        <x:v>雅致</x:v>
      </x:c>
      <x:c r="T289" s="9" t="str">
        <x:v>我以茶代酒，心意一样真。</x:v>
      </x:c>
      <x:c r="U289" s="9" t="str">
        <x:v>With tea in my cup and the same warm wishes.</x:v>
      </x:c>
      <x:c r="V289" s="9" t="str">
        <x:v>《世说新语》里记载：“而谈琴书愈妙。”古人聊琴书，也能聊出对彼此的新认识。今天各位有什么真喜欢的，不妨说说；愿这一桌有新见闻，也有好笑声。</x:v>
      </x:c>
      <x:c r="W289" s="9" t="str">
        <x:v>《世说新语》里记载：“而谈琴书愈妙。”古人聊琴书，也能聊出对彼此的新认识。今天各位有什么真喜欢的，不妨说说；愿这一桌有新见闻，也有好笑声。
这杯敬初识，愿今天聊得投缘，往后来往自然。</x:v>
      </x:c>
      <x:c r="X289" s="9" t="str">
        <x:v>spoken</x:v>
      </x:c>
      <x:c r="Y289" s="9" t="str">
        <x:v>story-2</x:v>
      </x:c>
      <x:c r="Z289" s="9" t="str"/>
      <x:c r="AA289" s="12" t="str"/>
    </x:row>
    <x:row r="290" ht="57" customHeight="1">
      <x:c r="A290" s="8" t="str">
        <x:v>r04-story-19-1</x:v>
      </x:c>
      <x:c r="B290" s="10" t="n">
        <x:v>1</x:v>
      </x:c>
      <x:c r="C290" s="8" t="str">
        <x:v>当前推荐</x:v>
      </x:c>
      <x:c r="D290" s="8" t="str">
        <x:v>认识新朋友</x:v>
      </x:c>
      <x:c r="E290" s="8" t="str">
        <x:v>全桌</x:v>
      </x:c>
      <x:c r="F290" s="8" t="str">
        <x:v>投缘不必话密</x:v>
      </x:c>
      <x:c r="G290" s="8" t="str">
        <x:v>《世说新语》里记载：“客主不交一言。”书里两位名士，一曲笛声就领会了兴味，前后竟没多说话。今天咱们话多话少都随意，能自在同桌就好。</x:v>
      </x:c>
      <x:c r="H290" s="8" t="str">
        <x:v>《世说新语》里记载：“客主不交一言。”书里两位名士，一曲笛声就领会了兴味，前后竟没多说话。今天咱们话多话少都随意，能自在同桌就好。
这杯敬初识，愿今天聊得投缘，往后来往自然。</x:v>
      </x:c>
      <x:c r="I290" s="8" t="str">
        <x:v>To easy company, whether the conversation is lively or quietly shared.</x:v>
      </x:c>
      <x:c r="J290" s="8" t="str">
        <x:v>愿话多话少，都能相处自在。</x:v>
      </x:c>
      <x:c r="K290" s="8" t="str">
        <x:v>r04-story-19</x:v>
      </x:c>
      <x:c r="L290" s="8" t="str">
        <x:v>《世说新语·任诞第四十九则》桓伊笛三调</x:v>
      </x:c>
      <x:c r="M290" s="8" t="str">
        <x:v>客主不交一言。</x:v>
      </x:c>
      <x:c r="N290" s="8" t="str">
        <x:v>桓伊应邀奏笛，前后没有交谈；不编造二人从此成为挚友。</x:v>
      </x:c>
      <x:c r="O290" s="8" t="str">
        <x:v>随席取意</x:v>
      </x:c>
      <x:c r="P290" s="8" t="str">
        <x:v>未限定</x:v>
      </x:c>
      <x:c r="Q290" s="8" t="str">
        <x:v>未限定</x:v>
      </x:c>
      <x:c r="R290" s="8" t="str">
        <x:v>引句后整理</x:v>
      </x:c>
      <x:c r="S290" s="8" t="str">
        <x:v>雅致</x:v>
      </x:c>
      <x:c r="T290" s="8" t="str">
        <x:v>我以茶代酒，心意一样真。</x:v>
      </x:c>
      <x:c r="U290" s="8" t="str">
        <x:v>With tea in my cup and the same warm wishes.</x:v>
      </x:c>
      <x:c r="V290" s="8" t="str">
        <x:v>《世说新语》里记载：“客主不交一言。”书里两位名士，一曲笛声就领会了兴味，前后竟没多说话。今天咱们话多话少都随意，能自在同桌就好。</x:v>
      </x:c>
      <x:c r="W290" s="8" t="str">
        <x:v>《世说新语》里记载：“客主不交一言。”书里两位名士，一曲笛声就领会了兴味，前后竟没多说话。今天咱们话多话少都随意，能自在同桌就好。
这杯敬初识，愿今天聊得投缘，往后来往自然。</x:v>
      </x:c>
      <x:c r="X290" s="8" t="str">
        <x:v>spoken</x:v>
      </x:c>
      <x:c r="Y290" s="8" t="str">
        <x:v>story-2</x:v>
      </x:c>
      <x:c r="Z290" s="8" t="str"/>
      <x:c r="AA290" s="12" t="str"/>
    </x:row>
    <x:row r="291" ht="42" customHeight="1">
      <x:c r="A291" s="9" t="str">
        <x:v>spoken-new-01</x:v>
      </x:c>
      <x:c r="B291" s="11" t="n">
        <x:v>1</x:v>
      </x:c>
      <x:c r="C291" s="9" t="str">
        <x:v>当前推荐</x:v>
      </x:c>
      <x:c r="D291" s="9" t="str">
        <x:v>认识新朋友</x:v>
      </x:c>
      <x:c r="E291" s="9" t="str">
        <x:v>全桌</x:v>
      </x:c>
      <x:c r="F291" s="9" t="str">
        <x:v>先认识，再慢慢熟</x:v>
      </x:c>
      <x:c r="G291" s="9" t="str">
        <x:v>今天先认识，往后慢慢熟。我敬大家一杯，聊到哪儿算哪儿，咱们别拘束。</x:v>
      </x:c>
      <x:c r="H291" s="9" t="str">
        <x:v>今天很高兴认识大家。名字可能还得再记一遍，故事可以慢慢听。我先敬各位一杯，希望这顿饭吃完，下次见面就不用再那么客气了。</x:v>
      </x:c>
      <x:c r="I291" s="9" t="str">
        <x:v>It’s lovely to meet you all. Here’s to an easy conversation and meeting again.</x:v>
      </x:c>
      <x:c r="J291" s="9" t="str">
        <x:v>很高兴认识大家，祝交谈轻松，也盼再见。</x:v>
      </x:c>
      <x:c r="K291" s="9" t="str">
        <x:v>rhythm</x:v>
      </x:c>
      <x:c r="L291" s="9" t="str">
        <x:v>把话写给耳朵听</x:v>
      </x:c>
      <x:c r="M291" s="9" t="str"/>
      <x:c r="N291" s="9" t="str">
        <x:v>初识先让人放松；不预设对方从远方来或已经是多年好友。</x:v>
      </x:c>
      <x:c r="O291" s="9" t="str">
        <x:v>未限定</x:v>
      </x:c>
      <x:c r="P291" s="9" t="str">
        <x:v>未限定</x:v>
      </x:c>
      <x:c r="Q291" s="9" t="str">
        <x:v>未限定</x:v>
      </x:c>
      <x:c r="R291" s="9" t="str">
        <x:v>依据表达方法整理</x:v>
      </x:c>
      <x:c r="S291" s="9" t="str">
        <x:v>雅致</x:v>
      </x:c>
      <x:c r="T291" s="9" t="str">
        <x:v>今天我以茶代酒，心意都在。</x:v>
      </x:c>
      <x:c r="U291" s="9" t="str">
        <x:v>I’m raising a cup of tea, with the same warm wishes.</x:v>
      </x:c>
      <x:c r="V291" s="9" t="str">
        <x:v>今天先认识，往后慢慢熟。我敬大家一杯，聊到哪儿算哪儿，咱们别拘束。</x:v>
      </x:c>
      <x:c r="W291" s="9" t="str">
        <x:v>今天很高兴认识大家。名字可能还得再记一遍，故事可以慢慢听。我先敬各位一杯，希望这顿饭吃完，下次见面就不用再那么客气了。</x:v>
      </x:c>
      <x:c r="X291" s="9" t="str">
        <x:v>spoken</x:v>
      </x:c>
      <x:c r="Y291" s="9" t="str">
        <x:v>plain</x:v>
      </x:c>
      <x:c r="Z291" s="9" t="str"/>
      <x:c r="AA291" s="12" t="str"/>
    </x:row>
    <x:row r="292" ht="42" customHeight="1">
      <x:c r="A292" s="8" t="str">
        <x:v>spoken-new-02</x:v>
      </x:c>
      <x:c r="B292" s="10" t="n">
        <x:v>1</x:v>
      </x:c>
      <x:c r="C292" s="8" t="str">
        <x:v>当前推荐</x:v>
      </x:c>
      <x:c r="D292" s="8" t="str">
        <x:v>认识新朋友</x:v>
      </x:c>
      <x:c r="E292" s="8" t="str">
        <x:v>全桌</x:v>
      </x:c>
      <x:c r="F292" s="8" t="str">
        <x:v>先碰个杯，打个招呼</x:v>
      </x:c>
      <x:c r="G292" s="8" t="str">
        <x:v>借这个杯跟大家打声招呼：很高兴认识各位，今天多聊聊，以后碰见了也好说话。</x:v>
      </x:c>
      <x:c r="H292" s="8" t="str">
        <x:v>第一次同桌，我先借这一杯跟大家打个招呼。各位平时忙什么、喜欢什么，有机会都想听听。祝大家今天吃得开心，也希望往后有缘常见。</x:v>
      </x:c>
      <x:c r="I292" s="8" t="str">
        <x:v>A toast to saying hello, sharing a little about ourselves, and keeping in touch.</x:v>
      </x:c>
      <x:c r="J292" s="8" t="str">
        <x:v>敬今天打个招呼、互相了解，也盼以后保持来往。</x:v>
      </x:c>
      <x:c r="K292" s="8" t="str">
        <x:v>rhythm</x:v>
      </x:c>
      <x:c r="L292" s="8" t="str">
        <x:v>把话写给耳朵听</x:v>
      </x:c>
      <x:c r="M292" s="8" t="str"/>
      <x:c r="N292" s="8" t="str">
        <x:v>初识先让人放松；不预设对方从远方来或已经是多年好友。</x:v>
      </x:c>
      <x:c r="O292" s="8" t="str">
        <x:v>未限定</x:v>
      </x:c>
      <x:c r="P292" s="8" t="str">
        <x:v>未限定</x:v>
      </x:c>
      <x:c r="Q292" s="8" t="str">
        <x:v>未限定</x:v>
      </x:c>
      <x:c r="R292" s="8" t="str">
        <x:v>依据表达方法整理</x:v>
      </x:c>
      <x:c r="S292" s="8" t="str">
        <x:v>雅致</x:v>
      </x:c>
      <x:c r="T292" s="8" t="str">
        <x:v>杯里是茶，祝福一样认真。</x:v>
      </x:c>
      <x:c r="U292" s="8" t="str">
        <x:v>I’m raising a cup of tea, with the same warm wishes.</x:v>
      </x:c>
      <x:c r="V292" s="8" t="str">
        <x:v>借这个杯跟大家打声招呼：很高兴认识各位，今天多聊聊，以后碰见了也好说话。</x:v>
      </x:c>
      <x:c r="W292" s="8" t="str">
        <x:v>第一次同桌，我先借这一杯跟大家打个招呼。各位平时忙什么、喜欢什么，有机会都想听听。祝大家今天吃得开心，也希望往后有缘常见。</x:v>
      </x:c>
      <x:c r="X292" s="8" t="str">
        <x:v>spoken</x:v>
      </x:c>
      <x:c r="Y292" s="8" t="str">
        <x:v>plain</x:v>
      </x:c>
      <x:c r="Z292" s="8" t="str"/>
      <x:c r="AA292" s="12" t="str"/>
    </x:row>
    <x:row r="293" ht="42" customHeight="1">
      <x:c r="A293" s="9" t="str">
        <x:v>spoken-new-03</x:v>
      </x:c>
      <x:c r="B293" s="11" t="n">
        <x:v>1</x:v>
      </x:c>
      <x:c r="C293" s="9" t="str">
        <x:v>当前推荐</x:v>
      </x:c>
      <x:c r="D293" s="9" t="str">
        <x:v>认识新朋友</x:v>
      </x:c>
      <x:c r="E293" s="9" t="str">
        <x:v>全桌</x:v>
      </x:c>
      <x:c r="F293" s="9" t="str">
        <x:v>从一顿饭开始</x:v>
      </x:c>
      <x:c r="G293" s="9" t="str">
        <x:v>认识一个人，从一起吃顿饭开始挺好。今天敬大家，愿这次见面轻松愉快。</x:v>
      </x:c>
      <x:c r="H293" s="9" t="str">
        <x:v>第一次认识，不一定要说出什么大道理。一起吃顿饭，听听彼此的想法，就已经挺有意思。我敬大家，祝今天聊得舒服，往后见面也能自然地打个招呼。</x:v>
      </x:c>
      <x:c r="I293" s="9" t="str">
        <x:v>Getting to know each other over dinner is a lovely place to start. Cheers.</x:v>
      </x:c>
      <x:c r="J293" s="9" t="str">
        <x:v>从一起吃饭开始认识彼此，是个很好的开头。</x:v>
      </x:c>
      <x:c r="K293" s="9" t="str">
        <x:v>rhythm</x:v>
      </x:c>
      <x:c r="L293" s="9" t="str">
        <x:v>把话写给耳朵听</x:v>
      </x:c>
      <x:c r="M293" s="9" t="str"/>
      <x:c r="N293" s="9" t="str">
        <x:v>初识先让人放松；不预设对方从远方来或已经是多年好友。</x:v>
      </x:c>
      <x:c r="O293" s="9" t="str">
        <x:v>未限定</x:v>
      </x:c>
      <x:c r="P293" s="9" t="str">
        <x:v>未限定</x:v>
      </x:c>
      <x:c r="Q293" s="9" t="str">
        <x:v>未限定</x:v>
      </x:c>
      <x:c r="R293" s="9" t="str">
        <x:v>依据表达方法整理</x:v>
      </x:c>
      <x:c r="S293" s="9" t="str">
        <x:v>雅致</x:v>
      </x:c>
      <x:c r="T293" s="9" t="str">
        <x:v>我用茶陪大家，咱们自在就好。</x:v>
      </x:c>
      <x:c r="U293" s="9" t="str">
        <x:v>I’m raising a cup of tea, with the same warm wishes.</x:v>
      </x:c>
      <x:c r="V293" s="9" t="str">
        <x:v>认识一个人，从一起吃顿饭开始挺好。今天敬大家，愿这次见面轻松愉快。</x:v>
      </x:c>
      <x:c r="W293" s="9" t="str">
        <x:v>第一次认识，不一定要说出什么大道理。一起吃顿饭，听听彼此的想法，就已经挺有意思。我敬大家，祝今天聊得舒服，往后见面也能自然地打个招呼。</x:v>
      </x:c>
      <x:c r="X293" s="9" t="str">
        <x:v>spoken</x:v>
      </x:c>
      <x:c r="Y293" s="9" t="str">
        <x:v>plain</x:v>
      </x:c>
      <x:c r="Z293" s="9" t="str"/>
      <x:c r="AA293" s="12" t="str"/>
    </x:row>
    <x:row r="294" ht="42" customHeight="1">
      <x:c r="A294" s="8" t="str">
        <x:v>spoken-new-05</x:v>
      </x:c>
      <x:c r="B294" s="10" t="n">
        <x:v>1</x:v>
      </x:c>
      <x:c r="C294" s="8" t="str">
        <x:v>当前推荐</x:v>
      </x:c>
      <x:c r="D294" s="8" t="str">
        <x:v>认识新朋友</x:v>
      </x:c>
      <x:c r="E294" s="8" t="str">
        <x:v>全桌</x:v>
      </x:c>
      <x:c r="F294" s="8" t="str">
        <x:v>遇见就是个好开头</x:v>
      </x:c>
      <x:c r="G294" s="8" t="str">
        <x:v>借一句“欣于所遇”，今天能认识大家，我很开心。这杯敬新相识，也祝各位顺心。</x:v>
      </x:c>
      <x:c r="H294" s="8" t="str">
        <x:v>“欣于所遇”，今天借这四个字说说自己的心情。能坐到一桌，本身就是个好开头。我敬大家一杯，愿接下来的交谈轻松一点，以后的来往自然一点。</x:v>
      </x:c>
      <x:c r="I294" s="8" t="str">
        <x:v>To a happy first meeting and conversations that come naturally.</x:v>
      </x:c>
      <x:c r="J294" s="8" t="str">
        <x:v>敬愉快的初见，也愿交谈自然自在。</x:v>
      </x:c>
      <x:c r="K294" s="8" t="str">
        <x:v>lantingMeet</x:v>
      </x:c>
      <x:c r="L294" s="8" t="str">
        <x:v>欣于所遇，珍惜此刻</x:v>
      </x:c>
      <x:c r="M294" s="8" t="str">
        <x:v>欣于所遇</x:v>
      </x:c>
      <x:c r="N294" s="8" t="str">
        <x:v>初识先让人放松；不预设对方从远方来或已经是多年好友。</x:v>
      </x:c>
      <x:c r="O294" s="8" t="str">
        <x:v>未限定</x:v>
      </x:c>
      <x:c r="P294" s="8" t="str">
        <x:v>未限定</x:v>
      </x:c>
      <x:c r="Q294" s="8" t="str">
        <x:v>未限定</x:v>
      </x:c>
      <x:c r="R294" s="8" t="str">
        <x:v>引句后整理</x:v>
      </x:c>
      <x:c r="S294" s="8" t="str">
        <x:v>雅致</x:v>
      </x:c>
      <x:c r="T294" s="8" t="str">
        <x:v>杯里是茶，祝福一样认真。</x:v>
      </x:c>
      <x:c r="U294" s="8" t="str">
        <x:v>I’m raising a cup of tea, with the same warm wishes.</x:v>
      </x:c>
      <x:c r="V294" s="8" t="str">
        <x:v>借一句“欣于所遇”，今天能认识大家，我很开心。这杯敬新相识，也祝各位顺心。</x:v>
      </x:c>
      <x:c r="W294" s="8" t="str">
        <x:v>“欣于所遇”，今天借这四个字说说自己的心情。能坐到一桌，本身就是个好开头。我敬大家一杯，愿接下来的交谈轻松一点，以后的来往自然一点。</x:v>
      </x:c>
      <x:c r="X294" s="8" t="str">
        <x:v>spoken</x:v>
      </x:c>
      <x:c r="Y294" s="8" t="str">
        <x:v>verse</x:v>
      </x:c>
      <x:c r="Z294" s="8" t="str"/>
      <x:c r="AA294" s="12" t="str"/>
    </x:row>
    <x:row r="295" ht="42" customHeight="1">
      <x:c r="A295" s="9" t="str">
        <x:v>spoken-new-06</x:v>
      </x:c>
      <x:c r="B295" s="11" t="n">
        <x:v>1</x:v>
      </x:c>
      <x:c r="C295" s="9" t="str">
        <x:v>当前推荐</x:v>
      </x:c>
      <x:c r="D295" s="9" t="str">
        <x:v>认识新朋友</x:v>
      </x:c>
      <x:c r="E295" s="9" t="str">
        <x:v>全桌</x:v>
      </x:c>
      <x:c r="F295" s="9" t="str">
        <x:v>不急着熟，先好好聊</x:v>
      </x:c>
      <x:c r="G295" s="9" t="str">
        <x:v>“相知无远近”，咱们先从相识开始。敬大家，不急着熟，先好好聊。</x:v>
      </x:c>
      <x:c r="H295" s="9" t="str">
        <x:v>“相知无远近”，今天我们刚认识，就先借这份愿意了解彼此的心意。我敬各位，名字慢慢记，话慢慢聊，愿这顿饭过后，多几个见面能笑着招呼的人。</x:v>
      </x:c>
      <x:c r="I295" s="9" t="str">
        <x:v>To getting acquainted without a rush and leaving with a few familiar faces.</x:v>
      </x:c>
      <x:c r="J295" s="9" t="str">
        <x:v>敬慢慢认识彼此，也愿散席后多几个熟悉的面孔。</x:v>
      </x:c>
      <x:c r="K295" s="9" t="str">
        <x:v>zhang</x:v>
      </x:c>
      <x:c r="L295" s="9" t="str">
        <x:v>张九龄《送韦城李少府》</x:v>
      </x:c>
      <x:c r="M295" s="9" t="str">
        <x:v>相知无远近，万里尚为邻。</x:v>
      </x:c>
      <x:c r="N295" s="9" t="str">
        <x:v>初识先让人放松；不预设对方从远方来或已经是多年好友。</x:v>
      </x:c>
      <x:c r="O295" s="9" t="str">
        <x:v>未限定</x:v>
      </x:c>
      <x:c r="P295" s="9" t="str">
        <x:v>未限定</x:v>
      </x:c>
      <x:c r="Q295" s="9" t="str">
        <x:v>未限定</x:v>
      </x:c>
      <x:c r="R295" s="9" t="str">
        <x:v>引句后整理</x:v>
      </x:c>
      <x:c r="S295" s="9" t="str">
        <x:v>雅致</x:v>
      </x:c>
      <x:c r="T295" s="9" t="str">
        <x:v>我用茶陪大家，咱们自在就好。</x:v>
      </x:c>
      <x:c r="U295" s="9" t="str">
        <x:v>I’m raising a cup of tea, with the same warm wishes.</x:v>
      </x:c>
      <x:c r="V295" s="9" t="str">
        <x:v>“相知无远近”，咱们先从相识开始。敬大家，不急着熟，先好好聊。</x:v>
      </x:c>
      <x:c r="W295" s="9" t="str">
        <x:v>“相知无远近”，今天我们刚认识，就先借这份愿意了解彼此的心意。我敬各位，名字慢慢记，话慢慢聊，愿这顿饭过后，多几个见面能笑着招呼的人。</x:v>
      </x:c>
      <x:c r="X295" s="9" t="str">
        <x:v>spoken</x:v>
      </x:c>
      <x:c r="Y295" s="9" t="str">
        <x:v>verse</x:v>
      </x:c>
      <x:c r="Z295" s="9" t="str"/>
      <x:c r="AA295" s="12" t="str"/>
    </x:row>
    <x:row r="296" ht="42" customHeight="1">
      <x:c r="A296" s="8" t="str">
        <x:v>spoken-new-07</x:v>
      </x:c>
      <x:c r="B296" s="10" t="n">
        <x:v>1</x:v>
      </x:c>
      <x:c r="C296" s="8" t="str">
        <x:v>当前推荐</x:v>
      </x:c>
      <x:c r="D296" s="8" t="str">
        <x:v>认识新朋友</x:v>
      </x:c>
      <x:c r="E296" s="8" t="str">
        <x:v>全桌</x:v>
      </x:c>
      <x:c r="F296" s="8" t="str">
        <x:v>名字再问一遍，也没关系</x:v>
      </x:c>
      <x:c r="G296" s="8" t="str">
        <x:v>名字一时没记住，我可能还得再问一遍。先敬大家，咱们把生分聊成不见外。</x:v>
      </x:c>
      <x:c r="H296" s="8" t="str">
        <x:v>我先声明一下，名字没记全，待会儿可能还得请教一遍，绝不是不重视。今天先碰个杯，祝各位聊得开心，也希望下次见面，咱们能少客气一点。</x:v>
      </x:c>
      <x:c r="I296" s="8" t="str">
        <x:v>If I ask your name twice, please forgive me. Here’s to feeling at ease together!</x:v>
      </x:c>
      <x:c r="J296" s="8" t="str">
        <x:v>如果名字问了两次，请多包涵；愿大家相处轻松。</x:v>
      </x:c>
      <x:c r="K296" s="8" t="str">
        <x:v>rhythm</x:v>
      </x:c>
      <x:c r="L296" s="8" t="str">
        <x:v>把话写给耳朵听</x:v>
      </x:c>
      <x:c r="M296" s="8" t="str"/>
      <x:c r="N296" s="8" t="str">
        <x:v>初识先让人放松；不预设对方从远方来或已经是多年好友。</x:v>
      </x:c>
      <x:c r="O296" s="8" t="str">
        <x:v>未限定</x:v>
      </x:c>
      <x:c r="P296" s="8" t="str">
        <x:v>未限定</x:v>
      </x:c>
      <x:c r="Q296" s="8" t="str">
        <x:v>未限定</x:v>
      </x:c>
      <x:c r="R296" s="8" t="str">
        <x:v>依据表达方法整理</x:v>
      </x:c>
      <x:c r="S296" s="8" t="str">
        <x:v>诙谐</x:v>
      </x:c>
      <x:c r="T296" s="8" t="str">
        <x:v>今天我以茶代酒，心意都在。</x:v>
      </x:c>
      <x:c r="U296" s="8" t="str">
        <x:v>I’m raising a cup of tea, with the same warm wishes.</x:v>
      </x:c>
      <x:c r="V296" s="8" t="str">
        <x:v>名字一时没记住，我可能还得再问一遍。先敬大家，咱们把生分聊成不见外。</x:v>
      </x:c>
      <x:c r="W296" s="8" t="str">
        <x:v>我先声明一下，名字没记全，待会儿可能还得请教一遍，绝不是不重视。今天先碰个杯，祝各位聊得开心，也希望下次见面，咱们能少客气一点。</x:v>
      </x:c>
      <x:c r="X296" s="8" t="str">
        <x:v>spoken</x:v>
      </x:c>
      <x:c r="Y296" s="8" t="str">
        <x:v>fun</x:v>
      </x:c>
      <x:c r="Z296" s="8" t="str"/>
      <x:c r="AA296" s="12" t="str"/>
    </x:row>
    <x:row r="297" ht="42" customHeight="1">
      <x:c r="A297" s="9" t="str">
        <x:v>spoken-new-08</x:v>
      </x:c>
      <x:c r="B297" s="11" t="n">
        <x:v>1</x:v>
      </x:c>
      <x:c r="C297" s="9" t="str">
        <x:v>当前推荐</x:v>
      </x:c>
      <x:c r="D297" s="9" t="str">
        <x:v>认识新朋友</x:v>
      </x:c>
      <x:c r="E297" s="9" t="str">
        <x:v>全桌</x:v>
      </x:c>
      <x:c r="F297" s="9" t="str">
        <x:v>先不找标准答案</x:v>
      </x:c>
      <x:c r="G297" s="9" t="str">
        <x:v>第一次见面，咱们先不找标准答案，聊点自己喜欢的。来，敬新朋友。</x:v>
      </x:c>
      <x:c r="H297" s="9" t="str">
        <x:v>初次见面，有时候比开会还容易紧张。今天咱们换个轻松的聊法，说点喜欢吃的、喜欢玩的也挺好。我敬大家一杯，祝这顿饭吃完，笑声比客套话多。</x:v>
      </x:c>
      <x:c r="I297" s="9" t="str">
        <x:v>No perfect answers needed today. Here’s to a few laughs and getting acquainted.</x:v>
      </x:c>
      <x:c r="J297" s="9" t="str">
        <x:v>今天不用标准答案，敬几声欢笑，也敬认识彼此。</x:v>
      </x:c>
      <x:c r="K297" s="9" t="str">
        <x:v>rhythm</x:v>
      </x:c>
      <x:c r="L297" s="9" t="str">
        <x:v>把话写给耳朵听</x:v>
      </x:c>
      <x:c r="M297" s="9" t="str"/>
      <x:c r="N297" s="9" t="str">
        <x:v>初识先让人放松；不预设对方从远方来或已经是多年好友。</x:v>
      </x:c>
      <x:c r="O297" s="9" t="str">
        <x:v>未限定</x:v>
      </x:c>
      <x:c r="P297" s="9" t="str">
        <x:v>未限定</x:v>
      </x:c>
      <x:c r="Q297" s="9" t="str">
        <x:v>未限定</x:v>
      </x:c>
      <x:c r="R297" s="9" t="str">
        <x:v>依据表达方法整理</x:v>
      </x:c>
      <x:c r="S297" s="9" t="str">
        <x:v>诙谐</x:v>
      </x:c>
      <x:c r="T297" s="9" t="str">
        <x:v>杯里是茶，祝福一样认真。</x:v>
      </x:c>
      <x:c r="U297" s="9" t="str">
        <x:v>I’m raising a cup of tea, with the same warm wishes.</x:v>
      </x:c>
      <x:c r="V297" s="9" t="str">
        <x:v>第一次见面，咱们先不找标准答案，聊点自己喜欢的。来，敬新朋友。</x:v>
      </x:c>
      <x:c r="W297" s="9" t="str">
        <x:v>初次见面，有时候比开会还容易紧张。今天咱们换个轻松的聊法，说点喜欢吃的、喜欢玩的也挺好。我敬大家一杯，祝这顿饭吃完，笑声比客套话多。</x:v>
      </x:c>
      <x:c r="X297" s="9" t="str">
        <x:v>spoken</x:v>
      </x:c>
      <x:c r="Y297" s="9" t="str">
        <x:v>fun</x:v>
      </x:c>
      <x:c r="Z297" s="9" t="str"/>
      <x:c r="AA297" s="12" t="str"/>
    </x:row>
    <x:row r="298" ht="42" customHeight="1">
      <x:c r="A298" s="8" t="str">
        <x:v>spoken-new-09</x:v>
      </x:c>
      <x:c r="B298" s="10" t="n">
        <x:v>1</x:v>
      </x:c>
      <x:c r="C298" s="8" t="str">
        <x:v>当前推荐</x:v>
      </x:c>
      <x:c r="D298" s="8" t="str">
        <x:v>认识新朋友</x:v>
      </x:c>
      <x:c r="E298" s="8" t="str">
        <x:v>全桌</x:v>
      </x:c>
      <x:c r="F298" s="8" t="str">
        <x:v>先记住这顿饭</x:v>
      </x:c>
      <x:c r="G298" s="8" t="str">
        <x:v>名字可以慢慢记，这顿饭的高兴先记住。这杯敬大家，往后有机会再见。</x:v>
      </x:c>
      <x:c r="H298" s="8" t="str">
        <x:v>初次见面，要记的信息可能挺多。我先不急，记住今天这一桌的高兴就好。这杯敬大家，愿各位顺心，也盼以后遇见了，咱们还能自然地聊两句。</x:v>
      </x:c>
      <x:c r="I298" s="8" t="str">
        <x:v>To remembering a happy meal and saying hello again when our paths cross.</x:v>
      </x:c>
      <x:c r="J298" s="8" t="str">
        <x:v>敬记住这一顿饭的高兴，也盼以后再遇见时自然问候。</x:v>
      </x:c>
      <x:c r="K298" s="8" t="str">
        <x:v>rhythm</x:v>
      </x:c>
      <x:c r="L298" s="8" t="str">
        <x:v>把话写给耳朵听</x:v>
      </x:c>
      <x:c r="M298" s="8" t="str"/>
      <x:c r="N298" s="8" t="str">
        <x:v>初识先让人放松；不预设对方从远方来或已经是多年好友。</x:v>
      </x:c>
      <x:c r="O298" s="8" t="str">
        <x:v>未限定</x:v>
      </x:c>
      <x:c r="P298" s="8" t="str">
        <x:v>未限定</x:v>
      </x:c>
      <x:c r="Q298" s="8" t="str">
        <x:v>未限定</x:v>
      </x:c>
      <x:c r="R298" s="8" t="str">
        <x:v>依据表达方法整理</x:v>
      </x:c>
      <x:c r="S298" s="8" t="str">
        <x:v>雅致</x:v>
      </x:c>
      <x:c r="T298" s="8" t="str">
        <x:v>我用茶陪大家，咱们自在就好。</x:v>
      </x:c>
      <x:c r="U298" s="8" t="str">
        <x:v>I’m raising a cup of tea, with the same warm wishes.</x:v>
      </x:c>
      <x:c r="V298" s="8" t="str">
        <x:v>名字可以慢慢记，这顿饭的高兴先记住。这杯敬大家，往后有机会再见。</x:v>
      </x:c>
      <x:c r="W298" s="8" t="str">
        <x:v>初次见面，要记的信息可能挺多。我先不急，记住今天这一桌的高兴就好。这杯敬大家，愿各位顺心，也盼以后遇见了，咱们还能自然地聊两句。</x:v>
      </x:c>
      <x:c r="X298" s="8" t="str">
        <x:v>spoken</x:v>
      </x:c>
      <x:c r="Y298" s="8" t="str">
        <x:v>plain</x:v>
      </x:c>
      <x:c r="Z298" s="8" t="str"/>
      <x:c r="AA298" s="12" t="str"/>
    </x:row>
    <x:row r="299" ht="42" customHeight="1">
      <x:c r="A299" s="9" t="str">
        <x:v>spoken-new-10</x:v>
      </x:c>
      <x:c r="B299" s="11" t="n">
        <x:v>1</x:v>
      </x:c>
      <x:c r="C299" s="9" t="str">
        <x:v>当前推荐</x:v>
      </x:c>
      <x:c r="D299" s="9" t="str">
        <x:v>认识新朋友</x:v>
      </x:c>
      <x:c r="E299" s="9" t="str">
        <x:v>全桌</x:v>
      </x:c>
      <x:c r="F299" s="9" t="str">
        <x:v>有话可聊，就是好开头</x:v>
      </x:c>
      <x:c r="G299" s="9" t="str">
        <x:v>“一觞一咏”，先借一杯打开话头。今天能认识各位，我很高兴，咱们慢慢聊。</x:v>
      </x:c>
      <x:c r="H299" s="9" t="str">
        <x:v>借“一觞一咏”的意思，今天先用这杯跟各位打开话头。相识的开头，不用把话说满，聊得舒服就很好。我敬大家，愿这次相遇留下点开心的记忆。</x:v>
      </x:c>
      <x:c r="I299" s="9" t="str">
        <x:v>To a comfortable conversation and a happy memory of our first meeting.</x:v>
      </x:c>
      <x:c r="J299" s="9" t="str">
        <x:v>敬舒服的交谈，也愿初见留下一份好记忆。</x:v>
      </x:c>
      <x:c r="K299" s="9" t="str">
        <x:v>lanting</x:v>
      </x:c>
      <x:c r="L299" s="9" t="str">
        <x:v>王羲之《兰亭集序》</x:v>
      </x:c>
      <x:c r="M299" s="9" t="str">
        <x:v>一觞一咏，亦足以畅叙幽情。</x:v>
      </x:c>
      <x:c r="N299" s="9" t="str">
        <x:v>初识先让人放松；不预设对方从远方来或已经是多年好友。</x:v>
      </x:c>
      <x:c r="O299" s="9" t="str">
        <x:v>未限定</x:v>
      </x:c>
      <x:c r="P299" s="9" t="str">
        <x:v>未限定</x:v>
      </x:c>
      <x:c r="Q299" s="9" t="str">
        <x:v>未限定</x:v>
      </x:c>
      <x:c r="R299" s="9" t="str">
        <x:v>引句后整理</x:v>
      </x:c>
      <x:c r="S299" s="9" t="str">
        <x:v>雅致</x:v>
      </x:c>
      <x:c r="T299" s="9" t="str">
        <x:v>今天我以茶代酒，心意都在。</x:v>
      </x:c>
      <x:c r="U299" s="9" t="str">
        <x:v>I’m raising a cup of tea, with the same warm wishes.</x:v>
      </x:c>
      <x:c r="V299" s="9" t="str">
        <x:v>“一觞一咏”，先借一杯打开话头。今天能认识各位，我很高兴，咱们慢慢聊。</x:v>
      </x:c>
      <x:c r="W299" s="9" t="str">
        <x:v>借“一觞一咏”的意思，今天先用这杯跟各位打开话头。相识的开头，不用把话说满，聊得舒服就很好。我敬大家，愿这次相遇留下点开心的记忆。</x:v>
      </x:c>
      <x:c r="X299" s="9" t="str">
        <x:v>spoken</x:v>
      </x:c>
      <x:c r="Y299" s="9" t="str">
        <x:v>verse</x:v>
      </x:c>
      <x:c r="Z299" s="9" t="str"/>
      <x:c r="AA299" s="12" t="str"/>
    </x:row>
    <x:row r="300" ht="42" customHeight="1">
      <x:c r="A300" s="8" t="str">
        <x:v>spoken-new-11</x:v>
      </x:c>
      <x:c r="B300" s="10" t="n">
        <x:v>1</x:v>
      </x:c>
      <x:c r="C300" s="8" t="str">
        <x:v>当前推荐</x:v>
      </x:c>
      <x:c r="D300" s="8" t="str">
        <x:v>认识新朋友</x:v>
      </x:c>
      <x:c r="E300" s="8" t="str">
        <x:v>全桌</x:v>
      </x:c>
      <x:c r="F300" s="8" t="str">
        <x:v>先认识人，头衔慢慢记</x:v>
      </x:c>
      <x:c r="G300" s="8" t="str">
        <x:v>先认识人，头衔慢慢记。今天敬大家，愿这桌饭吃完，咱们见面不再脸熟嘴生。</x:v>
      </x:c>
      <x:c r="H300" s="8" t="str">
        <x:v>第一次见面，有时候头衔记住了，人还没来得及好好认识。今天我先敬大家，听听各位真正喜欢的事，下次碰面，就不光是“好像见过”了。</x:v>
      </x:c>
      <x:c r="I300" s="8" t="str">
        <x:v>Here’s to getting to know the people beyond the introductions.</x:v>
      </x:c>
      <x:c r="J300" s="8" t="str">
        <x:v>敬认识介绍词之外、更真实的彼此。</x:v>
      </x:c>
      <x:c r="K300" s="8" t="str">
        <x:v>rhythm</x:v>
      </x:c>
      <x:c r="L300" s="8" t="str">
        <x:v>把话写给耳朵听</x:v>
      </x:c>
      <x:c r="M300" s="8" t="str"/>
      <x:c r="N300" s="8" t="str">
        <x:v>初识先让人放松；不预设对方从远方来或已经是多年好友。</x:v>
      </x:c>
      <x:c r="O300" s="8" t="str">
        <x:v>未限定</x:v>
      </x:c>
      <x:c r="P300" s="8" t="str">
        <x:v>未限定</x:v>
      </x:c>
      <x:c r="Q300" s="8" t="str">
        <x:v>未限定</x:v>
      </x:c>
      <x:c r="R300" s="8" t="str">
        <x:v>依据表达方法整理</x:v>
      </x:c>
      <x:c r="S300" s="8" t="str">
        <x:v>诙谐</x:v>
      </x:c>
      <x:c r="T300" s="8" t="str">
        <x:v>杯里是茶，祝福一样认真。</x:v>
      </x:c>
      <x:c r="U300" s="8" t="str">
        <x:v>I’m raising a cup of tea, with the same warm wishes.</x:v>
      </x:c>
      <x:c r="V300" s="8" t="str">
        <x:v>先认识人，头衔慢慢记。今天敬大家，愿这桌饭吃完，咱们见面不再脸熟嘴生。</x:v>
      </x:c>
      <x:c r="W300" s="8" t="str">
        <x:v>第一次见面，有时候头衔记住了，人还没来得及好好认识。今天我先敬大家，听听各位真正喜欢的事，下次碰面，就不光是“好像见过”了。</x:v>
      </x:c>
      <x:c r="X300" s="8" t="str">
        <x:v>spoken</x:v>
      </x:c>
      <x:c r="Y300" s="8" t="str">
        <x:v>fun</x:v>
      </x:c>
      <x:c r="Z300" s="8" t="str"/>
      <x:c r="AA300" s="12" t="str"/>
    </x:row>
    <x:row r="301" ht="42" customHeight="1">
      <x:c r="A301" s="9" t="str">
        <x:v>spoken-new-12</x:v>
      </x:c>
      <x:c r="B301" s="11" t="n">
        <x:v>1</x:v>
      </x:c>
      <x:c r="C301" s="9" t="str">
        <x:v>当前推荐</x:v>
      </x:c>
      <x:c r="D301" s="9" t="str">
        <x:v>认识新朋友</x:v>
      </x:c>
      <x:c r="E301" s="9" t="str">
        <x:v>全桌</x:v>
      </x:c>
      <x:c r="F301" s="9" t="str">
        <x:v>好话不用比赛</x:v>
      </x:c>
      <x:c r="G301" s="9" t="str">
        <x:v>今天咱们好话不用比赛，聊得开心就算赢。来，敬新认识的各位。</x:v>
      </x:c>
      <x:c r="H301" s="9" t="str">
        <x:v>第一次同桌，大家别忙着比谁更会说话。我先说一句简单的：很高兴认识你们。祝这顿饭吃完，开心的记忆能留下，客气的距离能少一点。</x:v>
      </x:c>
      <x:c r="I301" s="9" t="str">
        <x:v>No contest for the best speech today. Let’s simply enjoy getting acquainted.</x:v>
      </x:c>
      <x:c r="J301" s="9" t="str">
        <x:v>今天不比谁最会说话，就轻松认识彼此。</x:v>
      </x:c>
      <x:c r="K301" s="9" t="str">
        <x:v>rhythm</x:v>
      </x:c>
      <x:c r="L301" s="9" t="str">
        <x:v>把话写给耳朵听</x:v>
      </x:c>
      <x:c r="M301" s="9" t="str"/>
      <x:c r="N301" s="9" t="str">
        <x:v>初识先让人放松；不预设对方从远方来或已经是多年好友。</x:v>
      </x:c>
      <x:c r="O301" s="9" t="str">
        <x:v>未限定</x:v>
      </x:c>
      <x:c r="P301" s="9" t="str">
        <x:v>未限定</x:v>
      </x:c>
      <x:c r="Q301" s="9" t="str">
        <x:v>未限定</x:v>
      </x:c>
      <x:c r="R301" s="9" t="str">
        <x:v>依据表达方法整理</x:v>
      </x:c>
      <x:c r="S301" s="9" t="str">
        <x:v>诙谐</x:v>
      </x:c>
      <x:c r="T301" s="9" t="str">
        <x:v>我用茶陪大家，咱们自在就好。</x:v>
      </x:c>
      <x:c r="U301" s="9" t="str">
        <x:v>I’m raising a cup of tea, with the same warm wishes.</x:v>
      </x:c>
      <x:c r="V301" s="9" t="str">
        <x:v>今天咱们好话不用比赛，聊得开心就算赢。来，敬新认识的各位。</x:v>
      </x:c>
      <x:c r="W301" s="9" t="str">
        <x:v>第一次同桌，大家别忙着比谁更会说话。我先说一句简单的：很高兴认识你们。祝这顿饭吃完，开心的记忆能留下，客气的距离能少一点。</x:v>
      </x:c>
      <x:c r="X301" s="9" t="str">
        <x:v>spoken</x:v>
      </x:c>
      <x:c r="Y301" s="9" t="str">
        <x:v>fun</x:v>
      </x:c>
      <x:c r="Z301" s="9" t="str"/>
      <x:c r="AA301" s="12" t="str"/>
    </x:row>
    <x:row r="302" ht="57" customHeight="1">
      <x:c r="A302" s="8" t="str">
        <x:v>verse-cha-stars</x:v>
      </x:c>
      <x:c r="B302" s="10" t="n">
        <x:v>1</x:v>
      </x:c>
      <x:c r="C302" s="8" t="str">
        <x:v>当前推荐</x:v>
      </x:c>
      <x:c r="D302" s="8" t="str">
        <x:v>认识新朋友</x:v>
      </x:c>
      <x:c r="E302" s="8" t="str">
        <x:v>全桌</x:v>
      </x:c>
      <x:c r="F302" s="8" t="str">
        <x:v>各带一点光，照亮这一桌</x:v>
      </x:c>
      <x:c r="G302" s="8" t="str">
        <x:v>“微微风簇浪，散作满河星。”一盏渔灯，能照出满河星意。今天各位带来一点故事、一点笑声，也就照亮了这一桌。敬新相识。</x:v>
      </x:c>
      <x:c r="H302" s="8" t="str">
        <x:v>查慎行写“微微风簇浪，散作满河星”，一盏小小渔灯，在水里散成了星光。今天借这份诗意敬各位：我们还不算熟，各自带来一点故事、一点笑声，这一桌就慢慢热起来了。愿这次相识轻松愉快，往后见面，也能自然地打声招呼。</x:v>
      </x:c>
      <x:c r="I302" s="8" t="str">
        <x:v>To the stories and laughter each new person brings, and to getting acquainted one warm conversation at a time.</x:v>
      </x:c>
      <x:c r="J302" s="8" t="str">
        <x:v>敬每个人带来的故事与笑声，也愿相识从温暖交谈开始。</x:v>
      </x:c>
      <x:c r="K302" s="8" t="str">
        <x:v>poem-cha-stars</x:v>
      </x:c>
      <x:c r="L302" s="8" t="str">
        <x:v>查慎行《舟夜书所见》</x:v>
      </x:c>
      <x:c r="M302" s="8" t="str">
        <x:v>微微风簇浪，散作满河星。</x:v>
      </x:c>
      <x:c r="N302" s="8" t="str">
        <x:v>诗里渔灯倒影被水波散作星点，并非满河真有星；借细小善意使相聚发亮。</x:v>
      </x:c>
      <x:c r="O302" s="8" t="str">
        <x:v>夜晚小酌、月色入杯</x:v>
      </x:c>
      <x:c r="P302" s="8" t="str">
        <x:v>未限定</x:v>
      </x:c>
      <x:c r="Q302" s="8" t="str">
        <x:v>未限定</x:v>
      </x:c>
      <x:c r="R302" s="8" t="str">
        <x:v>引句后整理</x:v>
      </x:c>
      <x:c r="S302" s="8" t="str">
        <x:v>雅致</x:v>
      </x:c>
      <x:c r="T302" s="8" t="str">
        <x:v>我以茶代酒，心意一样。</x:v>
      </x:c>
      <x:c r="U302" s="8" t="str">
        <x:v>With tea in my cup and the same warm wishes.</x:v>
      </x:c>
      <x:c r="V302" s="8" t="str">
        <x:v>“微微风簇浪，散作满河星。”一盏渔灯，能照出满河星意。今天各位带来一点故事、一点笑声，也就照亮了这一桌。敬新相识。</x:v>
      </x:c>
      <x:c r="W302" s="8" t="str">
        <x:v>查慎行写“微微风簇浪，散作满河星”，一盏小小渔灯，在水里散成了星光。今天借这份诗意敬各位：我们还不算熟，各自带来一点故事、一点笑声，这一桌就慢慢热起来了。愿这次相识轻松愉快，往后见面，也能自然地打声招呼。</x:v>
      </x:c>
      <x:c r="X302" s="8" t="str">
        <x:v>spoken</x:v>
      </x:c>
      <x:c r="Y302" s="8" t="str">
        <x:v>verse</x:v>
      </x:c>
      <x:c r="Z302" s="8" t="str"/>
      <x:c r="AA302" s="12" t="str"/>
    </x:row>
    <x:row r="303" ht="57" customHeight="1">
      <x:c r="A303" s="9" t="str">
        <x:v>verse-tao-talk</x:v>
      </x:c>
      <x:c r="B303" s="11" t="n">
        <x:v>1</x:v>
      </x:c>
      <x:c r="C303" s="9" t="str">
        <x:v>当前推荐</x:v>
      </x:c>
      <x:c r="D303" s="9" t="str">
        <x:v>认识新朋友</x:v>
      </x:c>
      <x:c r="E303" s="9" t="str">
        <x:v>全桌</x:v>
      </x:c>
      <x:c r="F303" s="9" t="str">
        <x:v>先聊投缘，再慢慢熟悉</x:v>
      </x:c>
      <x:c r="G303" s="9" t="str">
        <x:v>“相思则披衣，言笑无厌时。”古人邻里谈笑，讲的是相处舒服。咱们今天刚认识，先把话聊自在，再慢慢熟悉。这杯敬新相识。</x:v>
      </x:c>
      <x:c r="H303" s="9" t="str">
        <x:v>“相思则披衣，言笑无厌时。”陶渊明写的是熟悉邻里之间的谈笑。咱们今天还在相识的开头，就先借这一份愿意了解彼此的心意。这杯敬各位，愿说话不拘束，听人有耐心；这一桌聊过以后，下次见面多一分熟悉。</x:v>
      </x:c>
      <x:c r="I303" s="9" t="str">
        <x:v>To a comfortable first conversation, attentive listening, and getting to know one another at our own pace.</x:v>
      </x:c>
      <x:c r="J303" s="9" t="str">
        <x:v>敬自在的初次交谈，也愿彼此从容了解。</x:v>
      </x:c>
      <x:c r="K303" s="9" t="str">
        <x:v>poem-tao-talk</x:v>
      </x:c>
      <x:c r="L303" s="9" t="str">
        <x:v>陶渊明《移居二首·其二》</x:v>
      </x:c>
      <x:c r="M303" s="9" t="str">
        <x:v>相思则披衣，言笑无厌时。</x:v>
      </x:c>
      <x:c r="N303" s="9" t="str">
        <x:v>原诗写邻里相思即往、谈笑不厌；借相处自在，不把相思限定为恋情。</x:v>
      </x:c>
      <x:c r="O303" s="9" t="str">
        <x:v>好友知己、团圆相聚</x:v>
      </x:c>
      <x:c r="P303" s="9" t="str">
        <x:v>未限定</x:v>
      </x:c>
      <x:c r="Q303" s="9" t="str">
        <x:v>未限定</x:v>
      </x:c>
      <x:c r="R303" s="9" t="str">
        <x:v>引句后整理</x:v>
      </x:c>
      <x:c r="S303" s="9" t="str">
        <x:v>雅致</x:v>
      </x:c>
      <x:c r="T303" s="9" t="str">
        <x:v>我以茶代酒，心意一样。</x:v>
      </x:c>
      <x:c r="U303" s="9" t="str">
        <x:v>With tea in my cup and the same warm wishes.</x:v>
      </x:c>
      <x:c r="V303" s="9" t="str">
        <x:v>“相思则披衣，言笑无厌时。”古人邻里谈笑，讲的是相处舒服。咱们今天刚认识，先把话聊自在，再慢慢熟悉。这杯敬新相识。</x:v>
      </x:c>
      <x:c r="W303" s="9" t="str">
        <x:v>“相思则披衣，言笑无厌时。”陶渊明写的是熟悉邻里之间的谈笑。咱们今天还在相识的开头，就先借这一份愿意了解彼此的心意。这杯敬各位，愿说话不拘束，听人有耐心；这一桌聊过以后，下次见面多一分熟悉。</x:v>
      </x:c>
      <x:c r="X303" s="9" t="str">
        <x:v>spoken</x:v>
      </x:c>
      <x:c r="Y303" s="9" t="str">
        <x:v>verse</x:v>
      </x:c>
      <x:c r="Z303" s="9" t="str"/>
      <x:c r="AA303" s="12" t="str"/>
    </x:row>
    <x:row r="304" ht="57" customHeight="1">
      <x:c r="A304" s="8" t="str">
        <x:v>verse-xu-light</x:v>
      </x:c>
      <x:c r="B304" s="10" t="n">
        <x:v>1</x:v>
      </x:c>
      <x:c r="C304" s="8" t="str">
        <x:v>当前推荐</x:v>
      </x:c>
      <x:c r="D304" s="8" t="str">
        <x:v>认识新朋友</x:v>
      </x:c>
      <x:c r="E304" s="8" t="str">
        <x:v>全桌</x:v>
      </x:c>
      <x:c r="F304" s="8" t="str">
        <x:v>相识，也能互相添一点光</x:v>
      </x:c>
      <x:c r="G304" s="8" t="str">
        <x:v>徐志摩写“在这交会时互放的光亮！”今天刚认识，先借这份光亮敬各位：愿这一桌有真话、有笑声，往后来往也自然。</x:v>
      </x:c>
      <x:c r="H304" s="8" t="str">
        <x:v>“在这交会时互放的光亮！”徐志摩写相逢，留下这样一句。今天我们各带着自己的生活坐到这里，不用急着熟悉，先认真聊几句，彼此添一点见闻，也添一点笑意。这杯敬各位，愿这次相识舒服，往后的来往自然。</x:v>
      </x:c>
      <x:c r="I304" s="8" t="str">
        <x:v>To the light a new encounter can bring: a story, a kind word, or a shared laugh. It is good to meet you.</x:v>
      </x:c>
      <x:c r="J304" s="8" t="str">
        <x:v>敬初次相遇带来的故事、善意与笑声，很高兴认识各位。</x:v>
      </x:c>
      <x:c r="K304" s="8" t="str">
        <x:v>poem-xu-light</x:v>
      </x:c>
      <x:c r="L304" s="8" t="str">
        <x:v>徐志摩《偶然》</x:v>
      </x:c>
      <x:c r="M304" s="8" t="str">
        <x:v>在这交会时互放的光亮！</x:v>
      </x:c>
      <x:c r="N304" s="8" t="str">
        <x:v>原诗写短暂相逢与各自方向，既有光亮也有离散；只借相遇的善意，不转为恋爱或长久承诺。</x:v>
      </x:c>
      <x:c r="O304" s="8" t="str">
        <x:v>夜晚小酌、好友知己</x:v>
      </x:c>
      <x:c r="P304" s="8" t="str">
        <x:v>未限定</x:v>
      </x:c>
      <x:c r="Q304" s="8" t="str">
        <x:v>未限定</x:v>
      </x:c>
      <x:c r="R304" s="8" t="str">
        <x:v>引句后整理</x:v>
      </x:c>
      <x:c r="S304" s="8" t="str">
        <x:v>雅致</x:v>
      </x:c>
      <x:c r="T304" s="8" t="str">
        <x:v>我以茶代酒，心意一样。</x:v>
      </x:c>
      <x:c r="U304" s="8" t="str">
        <x:v>With tea in my cup and the same warm wishes.</x:v>
      </x:c>
      <x:c r="V304" s="8" t="str">
        <x:v>徐志摩写“在这交会时互放的光亮！”今天刚认识，先借这份光亮敬各位：愿这一桌有真话、有笑声，往后来往也自然。</x:v>
      </x:c>
      <x:c r="W304" s="8" t="str">
        <x:v>“在这交会时互放的光亮！”徐志摩写相逢，留下这样一句。今天我们各带着自己的生活坐到这里，不用急着熟悉，先认真聊几句，彼此添一点见闻，也添一点笑意。这杯敬各位，愿这次相识舒服，往后的来往自然。</x:v>
      </x:c>
      <x:c r="X304" s="8" t="str">
        <x:v>spoken</x:v>
      </x:c>
      <x:c r="Y304" s="8" t="str">
        <x:v>verse</x:v>
      </x:c>
      <x:c r="Z304" s="8" t="str"/>
      <x:c r="AA304" s="12" t="str"/>
    </x:row>
    <x:row r="305" ht="72" customHeight="1">
      <x:c r="A305" s="9" t="str">
        <x:v>r04-ci-13-2</x:v>
      </x:c>
      <x:c r="B305" s="11" t="n">
        <x:v>1</x:v>
      </x:c>
      <x:c r="C305" s="9" t="str">
        <x:v>当前推荐</x:v>
      </x:c>
      <x:c r="D305" s="9" t="str">
        <x:v>别人敬我</x:v>
      </x:c>
      <x:c r="E305" s="9" t="str">
        <x:v>全桌</x:v>
      </x:c>
      <x:c r="F305" s="9" t="str">
        <x:v>愿有人听得懂 · 再说一句</x:v>
      </x:c>
      <x:c r="G305" s="9" t="str">
        <x:v>谢谢你的祝福。我也送你一句实在的：愿以后高兴有人分享，低落有人陪着，哪怕不说话，也不觉得孤单。借诗词中的一句：“谁见幽人独往来，缥缈孤鸿影。”</x:v>
      </x:c>
      <x:c r="H305" s="9" t="str">
        <x:v>谢谢你的祝福。我也送你一句实在的：愿以后高兴有人分享，低落有人陪着，哪怕不说话，也不觉得孤单。
苏轼在《卜算子·黄州定慧院寓居作》里写道：“谁见幽人独往来，缥缈孤鸿影。”你的好意我记下了，这份祝福也认真回给你。</x:v>
      </x:c>
      <x:c r="I305" s="9" t="str">
        <x:v>To being understood, even on the days when words are hard to find. Here is to another good day together.</x:v>
      </x:c>
      <x:c r="J305" s="9" t="str">
        <x:v>愿词穷的时候，也有人懂得。也盼再有同聚的好日子。</x:v>
      </x:c>
      <x:c r="K305" s="9" t="str">
        <x:v>r04-ci-13</x:v>
      </x:c>
      <x:c r="L305" s="9" t="str">
        <x:v>苏轼《卜算子·黄州定慧院寓居作》</x:v>
      </x:c>
      <x:c r="M305" s="9" t="str">
        <x:v>谁见幽人独往来，缥缈孤鸿影。</x:v>
      </x:c>
      <x:c r="N305" s="9" t="str">
        <x:v>孤鸿寄托孤独自守；不把原作说成欢乐宴饮，只引出愿人被理解的编辑祝愿。</x:v>
      </x:c>
      <x:c r="O305" s="9" t="str">
        <x:v>随席取意</x:v>
      </x:c>
      <x:c r="P305" s="9" t="str">
        <x:v>未限定</x:v>
      </x:c>
      <x:c r="Q305" s="9" t="str">
        <x:v>未限定</x:v>
      </x:c>
      <x:c r="R305" s="9" t="str">
        <x:v>引句后整理</x:v>
      </x:c>
      <x:c r="S305" s="9" t="str">
        <x:v>雅致</x:v>
      </x:c>
      <x:c r="T305" s="9" t="str">
        <x:v>我以茶代酒，心意一样真。</x:v>
      </x:c>
      <x:c r="U305" s="9" t="str">
        <x:v>With tea in my cup and the same warm wishes.</x:v>
      </x:c>
      <x:c r="V305" s="9" t="str">
        <x:v>谢谢你的祝福。我也送你一句实在的：愿以后高兴有人分享，低落有人陪着，哪怕不说话，也不觉得孤单。借诗词中的一句：“谁见幽人独往来，缥缈孤鸿影。”</x:v>
      </x:c>
      <x:c r="W305" s="9" t="str">
        <x:v>谢谢你的祝福。我也送你一句实在的：愿以后高兴有人分享，低落有人陪着，哪怕不说话，也不觉得孤单。
苏轼在《卜算子·黄州定慧院寓居作》里写道：“谁见幽人独往来，缥缈孤鸿影。”你的好意我记下了，这份祝福也认真回给你。</x:v>
      </x:c>
      <x:c r="X305" s="9" t="str">
        <x:v>spoken</x:v>
      </x:c>
      <x:c r="Y305" s="9" t="str">
        <x:v>verse-0</x:v>
      </x:c>
      <x:c r="Z305" s="9" t="str"/>
      <x:c r="AA305" s="12" t="str"/>
    </x:row>
    <x:row r="306" ht="72" customHeight="1">
      <x:c r="A306" s="8" t="str">
        <x:v>r04-ci-22-2</x:v>
      </x:c>
      <x:c r="B306" s="10" t="n">
        <x:v>1</x:v>
      </x:c>
      <x:c r="C306" s="8" t="str">
        <x:v>当前推荐</x:v>
      </x:c>
      <x:c r="D306" s="8" t="str">
        <x:v>别人敬我</x:v>
      </x:c>
      <x:c r="E306" s="8" t="str">
        <x:v>全桌</x:v>
      </x:c>
      <x:c r="F306" s="8" t="str">
        <x:v>懂得就很珍贵 · 再说一句</x:v>
      </x:c>
      <x:c r="G306" s="8" t="str">
        <x:v>谢谢你这杯，也谢谢你愿意听我说话。借这句词回敬你，愿以后咱们相见有笑，不见也有惦念。借诗词中的一句：“知我者，二三子。”</x:v>
      </x:c>
      <x:c r="H306" s="8" t="str">
        <x:v>谢谢你这杯，也谢谢你愿意听我说话。借这句词回敬你，愿以后咱们相见有笑，不见也有惦念。
辛弃疾在《贺新郎·甚矣吾衰矣》里写道：“知我者，二三子。”你的好意我记下了，这份祝福也认真回给你。</x:v>
      </x:c>
      <x:c r="I306" s="8" t="str">
        <x:v>To friends with whom we can always pick up the conversation. Here is to another good day together.</x:v>
      </x:c>
      <x:c r="J306" s="8" t="str">
        <x:v>敬见了面总能把话接上的朋友。也盼再有同聚的好日子。</x:v>
      </x:c>
      <x:c r="K306" s="8" t="str">
        <x:v>r04-ci-22</x:v>
      </x:c>
      <x:c r="L306" s="8" t="str">
        <x:v>辛弃疾《贺新郎·甚矣吾衰矣》</x:v>
      </x:c>
      <x:c r="M306" s="8" t="str">
        <x:v>知我者，二三子。</x:v>
      </x:c>
      <x:c r="N306" s="8" t="str">
        <x:v>思亲友与自许相杂；二三子指朋友，不译成只有两三位，不预设交游零落。</x:v>
      </x:c>
      <x:c r="O306" s="8" t="str">
        <x:v>随席取意</x:v>
      </x:c>
      <x:c r="P306" s="8" t="str">
        <x:v>未限定</x:v>
      </x:c>
      <x:c r="Q306" s="8" t="str">
        <x:v>未限定</x:v>
      </x:c>
      <x:c r="R306" s="8" t="str">
        <x:v>引句后整理</x:v>
      </x:c>
      <x:c r="S306" s="8" t="str">
        <x:v>雅致</x:v>
      </x:c>
      <x:c r="T306" s="8" t="str">
        <x:v>我以茶代酒，心意一样真。</x:v>
      </x:c>
      <x:c r="U306" s="8" t="str">
        <x:v>With tea in my cup and the same warm wishes.</x:v>
      </x:c>
      <x:c r="V306" s="8" t="str">
        <x:v>谢谢你这杯，也谢谢你愿意听我说话。借这句词回敬你，愿以后咱们相见有笑，不见也有惦念。借诗词中的一句：“知我者，二三子。”</x:v>
      </x:c>
      <x:c r="W306" s="8" t="str">
        <x:v>谢谢你这杯，也谢谢你愿意听我说话。借这句词回敬你，愿以后咱们相见有笑，不见也有惦念。
辛弃疾在《贺新郎·甚矣吾衰矣》里写道：“知我者，二三子。”你的好意我记下了，这份祝福也认真回给你。</x:v>
      </x:c>
      <x:c r="X306" s="8" t="str">
        <x:v>spoken</x:v>
      </x:c>
      <x:c r="Y306" s="8" t="str">
        <x:v>verse-1</x:v>
      </x:c>
      <x:c r="Z306" s="8" t="str"/>
      <x:c r="AA306" s="12" t="str"/>
    </x:row>
    <x:row r="307" ht="57" customHeight="1">
      <x:c r="A307" s="9" t="str">
        <x:v>r04-shi-44-2</x:v>
      </x:c>
      <x:c r="B307" s="11" t="n">
        <x:v>1</x:v>
      </x:c>
      <x:c r="C307" s="9" t="str">
        <x:v>当前推荐</x:v>
      </x:c>
      <x:c r="D307" s="9" t="str">
        <x:v>别人敬我</x:v>
      </x:c>
      <x:c r="E307" s="9" t="str">
        <x:v>全桌</x:v>
      </x:c>
      <x:c r="F307" s="9" t="str">
        <x:v>福气落在日常 · 再说一句</x:v>
      </x:c>
      <x:c r="G307" s="9" t="str">
        <x:v>这份祝福我收下，也借古人的好话回敬您：愿好日子有盼头，平常日子也有甜头。借诗词中的一句：“乐只君子，福履绥之。”</x:v>
      </x:c>
      <x:c r="H307" s="9" t="str">
        <x:v>这份祝福我收下，也借古人的好话回敬您：愿好日子有盼头，平常日子也有甜头。
《诗经》里有一句：“乐只君子，福履绥之。”你的好意我记下了，这份祝福也认真回给你。</x:v>
      </x:c>
      <x:c r="I307" s="9" t="str">
        <x:v>To everyday comfort and the quiet happiness of being cared for. Here is to another good day together.</x:v>
      </x:c>
      <x:c r="J307" s="9" t="str">
        <x:v>敬日常的舒适与被人照顾的温暖。也盼再有同聚的好日子。</x:v>
      </x:c>
      <x:c r="K307" s="9" t="str">
        <x:v>r04-shi-44</x:v>
      </x:c>
      <x:c r="L307" s="9" t="str">
        <x:v>《诗经·樛木》</x:v>
      </x:c>
      <x:c r="M307" s="9" t="str">
        <x:v>乐只君子，福履绥之。</x:v>
      </x:c>
      <x:c r="N307" s="9" t="str">
        <x:v>祝福安乐福禄的诗；旧说及今解不同，借祝福，不套用依附关系。</x:v>
      </x:c>
      <x:c r="O307" s="9" t="str">
        <x:v>随席取意</x:v>
      </x:c>
      <x:c r="P307" s="9" t="str">
        <x:v>未限定</x:v>
      </x:c>
      <x:c r="Q307" s="9" t="str">
        <x:v>未限定</x:v>
      </x:c>
      <x:c r="R307" s="9" t="str">
        <x:v>引句后整理</x:v>
      </x:c>
      <x:c r="S307" s="9" t="str">
        <x:v>雅致</x:v>
      </x:c>
      <x:c r="T307" s="9" t="str">
        <x:v>我以茶代酒，心意一样真。</x:v>
      </x:c>
      <x:c r="U307" s="9" t="str">
        <x:v>With tea in my cup and the same warm wishes.</x:v>
      </x:c>
      <x:c r="V307" s="9" t="str">
        <x:v>这份祝福我收下，也借古人的好话回敬您：愿好日子有盼头，平常日子也有甜头。借诗词中的一句：“乐只君子，福履绥之。”</x:v>
      </x:c>
      <x:c r="W307" s="9" t="str">
        <x:v>这份祝福我收下，也借古人的好话回敬您：愿好日子有盼头，平常日子也有甜头。
《诗经》里有一句：“乐只君子，福履绥之。”你的好意我记下了，这份祝福也认真回给你。</x:v>
      </x:c>
      <x:c r="X307" s="9" t="str">
        <x:v>spoken</x:v>
      </x:c>
      <x:c r="Y307" s="9" t="str">
        <x:v>verse-0</x:v>
      </x:c>
      <x:c r="Z307" s="9" t="str"/>
      <x:c r="AA307" s="12" t="str"/>
    </x:row>
    <x:row r="308" ht="72" customHeight="1">
      <x:c r="A308" s="8" t="str">
        <x:v>r04-shi-702-2</x:v>
      </x:c>
      <x:c r="B308" s="10" t="n">
        <x:v>1</x:v>
      </x:c>
      <x:c r="C308" s="8" t="str">
        <x:v>当前推荐</x:v>
      </x:c>
      <x:c r="D308" s="8" t="str">
        <x:v>别人敬我</x:v>
      </x:c>
      <x:c r="E308" s="8" t="str">
        <x:v>全桌</x:v>
      </x:c>
      <x:c r="F308" s="8" t="str">
        <x:v>尽兴也有分寸 · 再说一句</x:v>
      </x:c>
      <x:c r="G308" s="8" t="str">
        <x:v>你的祝福我认真收下，也把好意回给你。咱们心意到了就好，杯中多少随自己，往后见面常欢喜。借诗词中的一句：“岂弟君子，莫不令仪。”</x:v>
      </x:c>
      <x:c r="H308" s="8" t="str">
        <x:v>你的祝福我认真收下，也把好意回给你。咱们心意到了就好，杯中多少随自己，往后见面常欢喜。
《诗经·湛露》写道：“岂弟君子，莫不令仪。”你的好意我记下了，这份祝福也认真回给你。</x:v>
      </x:c>
      <x:c r="I308" s="8" t="str">
        <x:v>To a joyful evening, with care and respect for everyone's choices. Here is to another good day together.</x:v>
      </x:c>
      <x:c r="J308" s="8" t="str">
        <x:v>愿今夜尽兴，也尊重每个人的选择。也盼再有同聚的好日子。</x:v>
      </x:c>
      <x:c r="K308" s="8" t="str">
        <x:v>r04-shi-702</x:v>
      </x:c>
      <x:c r="L308" s="8" t="str">
        <x:v>《诗经·湛露》</x:v>
      </x:c>
      <x:c r="M308" s="8" t="str">
        <x:v>岂弟君子，莫不令仪。</x:v>
      </x:c>
      <x:c r="N308" s="8" t="str">
        <x:v>天子宴诸侯之诗，含不醉无归；此处只取和乐有仪，不沿用劝醉语。</x:v>
      </x:c>
      <x:c r="O308" s="8" t="str">
        <x:v>随席取意</x:v>
      </x:c>
      <x:c r="P308" s="8" t="str">
        <x:v>未限定</x:v>
      </x:c>
      <x:c r="Q308" s="8" t="str">
        <x:v>未限定</x:v>
      </x:c>
      <x:c r="R308" s="8" t="str">
        <x:v>引句后整理</x:v>
      </x:c>
      <x:c r="S308" s="8" t="str">
        <x:v>雅致</x:v>
      </x:c>
      <x:c r="T308" s="8" t="str">
        <x:v>我以茶代酒，心意一样真。</x:v>
      </x:c>
      <x:c r="U308" s="8" t="str">
        <x:v>With tea in my cup and the same warm wishes.</x:v>
      </x:c>
      <x:c r="V308" s="8" t="str">
        <x:v>你的祝福我认真收下，也把好意回给你。咱们心意到了就好，杯中多少随自己，往后见面常欢喜。借诗词中的一句：“岂弟君子，莫不令仪。”</x:v>
      </x:c>
      <x:c r="W308" s="8" t="str">
        <x:v>你的祝福我认真收下，也把好意回给你。咱们心意到了就好，杯中多少随自己，往后见面常欢喜。
《诗经·湛露》写道：“岂弟君子，莫不令仪。”你的好意我记下了，这份祝福也认真回给你。</x:v>
      </x:c>
      <x:c r="X308" s="8" t="str">
        <x:v>spoken</x:v>
      </x:c>
      <x:c r="Y308" s="8" t="str">
        <x:v>verse-0</x:v>
      </x:c>
      <x:c r="Z308" s="8" t="str"/>
      <x:c r="AA308" s="12" t="str"/>
    </x:row>
    <x:row r="309" ht="72" customHeight="1">
      <x:c r="A309" s="9" t="str">
        <x:v>r04-shi-706-2</x:v>
      </x:c>
      <x:c r="B309" s="11" t="n">
        <x:v>1</x:v>
      </x:c>
      <x:c r="C309" s="9" t="str">
        <x:v>当前推荐</x:v>
      </x:c>
      <x:c r="D309" s="9" t="str">
        <x:v>别人敬我</x:v>
      </x:c>
      <x:c r="E309" s="9" t="str">
        <x:v>全桌</x:v>
      </x:c>
      <x:c r="F309" s="9" t="str">
        <x:v>客人来了就高兴 · 再说一句</x:v>
      </x:c>
      <x:c r="G309" s="9" t="str">
        <x:v>承蒙你把我当成好客人，我也借这一句回敬你的热情。愿我们以后见面，都少点客套，多点自在。借诗词中的一句：“我有嘉宾，中心喜之。”</x:v>
      </x:c>
      <x:c r="H309" s="9" t="str">
        <x:v>承蒙你把我当成好客人，我也借这一句回敬你的热情。愿我们以后见面，都少点客套，多点自在。
借《诗经》的一句：“我有嘉宾，中心喜之。”你的好意我记下了，这份祝福也认真回给你。</x:v>
      </x:c>
      <x:c r="I309" s="9" t="str">
        <x:v>To the genuine pleasure of welcoming you to this table. Here is to another good day together.</x:v>
      </x:c>
      <x:c r="J309" s="9" t="str">
        <x:v>真心欢迎你来到这一桌。也盼再有同聚的好日子。</x:v>
      </x:c>
      <x:c r="K309" s="9" t="str">
        <x:v>r04-shi-706</x:v>
      </x:c>
      <x:c r="L309" s="9" t="str">
        <x:v>《诗经·彤弓》</x:v>
      </x:c>
      <x:c r="M309" s="9" t="str">
        <x:v>我有嘉宾，中心喜之。</x:v>
      </x:c>
      <x:c r="N309" s="9" t="str">
        <x:v>原为天子赐弓设宴；仅取欢迎嘉宾，不把主人写成君王。</x:v>
      </x:c>
      <x:c r="O309" s="9" t="str">
        <x:v>随席取意</x:v>
      </x:c>
      <x:c r="P309" s="9" t="str">
        <x:v>未限定</x:v>
      </x:c>
      <x:c r="Q309" s="9" t="str">
        <x:v>未限定</x:v>
      </x:c>
      <x:c r="R309" s="9" t="str">
        <x:v>引句后整理</x:v>
      </x:c>
      <x:c r="S309" s="9" t="str">
        <x:v>雅致</x:v>
      </x:c>
      <x:c r="T309" s="9" t="str">
        <x:v>我以茶代酒，心意一样真。</x:v>
      </x:c>
      <x:c r="U309" s="9" t="str">
        <x:v>With tea in my cup and the same warm wishes.</x:v>
      </x:c>
      <x:c r="V309" s="9" t="str">
        <x:v>承蒙你把我当成好客人，我也借这一句回敬你的热情。愿我们以后见面，都少点客套，多点自在。借诗词中的一句：“我有嘉宾，中心喜之。”</x:v>
      </x:c>
      <x:c r="W309" s="9" t="str">
        <x:v>承蒙你把我当成好客人，我也借这一句回敬你的热情。愿我们以后见面，都少点客套，多点自在。
借《诗经》的一句：“我有嘉宾，中心喜之。”你的好意我记下了，这份祝福也认真回给你。</x:v>
      </x:c>
      <x:c r="X309" s="9" t="str">
        <x:v>spoken</x:v>
      </x:c>
      <x:c r="Y309" s="9" t="str">
        <x:v>verse-1</x:v>
      </x:c>
      <x:c r="Z309" s="9" t="str"/>
      <x:c r="AA309" s="12" t="str"/>
    </x:row>
    <x:row r="310" ht="72" customHeight="1">
      <x:c r="A310" s="8" t="str">
        <x:v>r04-shi-991-2</x:v>
      </x:c>
      <x:c r="B310" s="10" t="n">
        <x:v>1</x:v>
      </x:c>
      <x:c r="C310" s="8" t="str">
        <x:v>当前推荐</x:v>
      </x:c>
      <x:c r="D310" s="8" t="str">
        <x:v>别人敬我</x:v>
      </x:c>
      <x:c r="E310" s="8" t="str">
        <x:v>全桌</x:v>
      </x:c>
      <x:c r="F310" s="8" t="str">
        <x:v>祝愿说得实在 · 再说一句</x:v>
      </x:c>
      <x:c r="G310" s="8" t="str">
        <x:v>把这份好祝愿也回送给你。愿你忙的时候有人体谅，闲的时候有人作伴，日子踏实，心里安稳。借诗词中的一句：“君子万年，福禄绥之。”</x:v>
      </x:c>
      <x:c r="H310" s="8" t="str">
        <x:v>把这份好祝愿也回送给你。愿你忙的时候有人体谅，闲的时候有人作伴，日子踏实，心里安稳。
《诗经·鸳鸯》写道：“君子万年，福禄绥之。”你的好意我记下了，这份祝福也认真回给你。</x:v>
      </x:c>
      <x:c r="I310" s="8" t="str">
        <x:v>To comfortable days, familiar company, and time for what we enjoy. Here is to another good day together.</x:v>
      </x:c>
      <x:c r="J310" s="8" t="str">
        <x:v>愿日子舒适，有人作伴，也有空做喜欢的事。也盼再有同聚的好日子。</x:v>
      </x:c>
      <x:c r="K310" s="8" t="str">
        <x:v>r04-shi-991</x:v>
      </x:c>
      <x:c r="L310" s="8" t="str">
        <x:v>《诗经·鸳鸯》</x:v>
      </x:c>
      <x:c r="M310" s="8" t="str">
        <x:v>君子万年，福禄绥之。</x:v>
      </x:c>
      <x:c r="N310" s="8" t="str">
        <x:v>祝福之歌，存在婚礼及君臣酬答等解释；不默认所有对象为夫妻。</x:v>
      </x:c>
      <x:c r="O310" s="8" t="str">
        <x:v>随席取意</x:v>
      </x:c>
      <x:c r="P310" s="8" t="str">
        <x:v>未限定</x:v>
      </x:c>
      <x:c r="Q310" s="8" t="str">
        <x:v>未限定</x:v>
      </x:c>
      <x:c r="R310" s="8" t="str">
        <x:v>引句后整理</x:v>
      </x:c>
      <x:c r="S310" s="8" t="str">
        <x:v>雅致</x:v>
      </x:c>
      <x:c r="T310" s="8" t="str">
        <x:v>我以茶代酒，心意一样真。</x:v>
      </x:c>
      <x:c r="U310" s="8" t="str">
        <x:v>With tea in my cup and the same warm wishes.</x:v>
      </x:c>
      <x:c r="V310" s="8" t="str">
        <x:v>把这份好祝愿也回送给你。愿你忙的时候有人体谅，闲的时候有人作伴，日子踏实，心里安稳。借诗词中的一句：“君子万年，福禄绥之。”</x:v>
      </x:c>
      <x:c r="W310" s="8" t="str">
        <x:v>把这份好祝愿也回送给你。愿你忙的时候有人体谅，闲的时候有人作伴，日子踏实，心里安稳。
《诗经·鸳鸯》写道：“君子万年，福禄绥之。”你的好意我记下了，这份祝福也认真回给你。</x:v>
      </x:c>
      <x:c r="X310" s="8" t="str">
        <x:v>spoken</x:v>
      </x:c>
      <x:c r="Y310" s="8" t="str">
        <x:v>verse-2</x:v>
      </x:c>
      <x:c r="Z310" s="8" t="str"/>
      <x:c r="AA310" s="12" t="str"/>
    </x:row>
    <x:row r="311" ht="57" customHeight="1">
      <x:c r="A311" s="9" t="str">
        <x:v>r04-story-12-2</x:v>
      </x:c>
      <x:c r="B311" s="11" t="n">
        <x:v>1</x:v>
      </x:c>
      <x:c r="C311" s="9" t="str">
        <x:v>当前推荐</x:v>
      </x:c>
      <x:c r="D311" s="9" t="str">
        <x:v>别人敬我</x:v>
      </x:c>
      <x:c r="E311" s="9" t="str">
        <x:v>全桌</x:v>
      </x:c>
      <x:c r="F311" s="9" t="str">
        <x:v>话短心意不短 · 再说一句</x:v>
      </x:c>
      <x:c r="G311" s="9" t="str">
        <x:v>谢谢你这一杯，我也回一句短的。话不求多，心意是真的：愿你忙有收获，闲有知己，往后见面常欢喜。借这则旧事的一句：“将无同？”</x:v>
      </x:c>
      <x:c r="H311" s="9" t="str">
        <x:v>谢谢你这一杯，我也回一句短的。话不求多，心意是真的：愿你忙有收获，闲有知己，往后见面常欢喜。
《世说新语》里记载：“将无同？”你的好意我记下了，这份祝福也认真回给你。</x:v>
      </x:c>
      <x:c r="I311" s="9" t="str">
        <x:v>A few words, with sincere wishes for good days ahead. Here is to another good day together.</x:v>
      </x:c>
      <x:c r="J311" s="9" t="str">
        <x:v>话虽不多，真心祝愿往后的日子好。也盼再有同聚的好日子。</x:v>
      </x:c>
      <x:c r="K311" s="9" t="str">
        <x:v>r04-story-12</x:v>
      </x:c>
      <x:c r="L311" s="9" t="str">
        <x:v>《世说新语·文学第十八则》阮修三语掾</x:v>
      </x:c>
      <x:c r="M311" s="9" t="str">
        <x:v>将无同？</x:v>
      </x:c>
      <x:c r="N311" s="9" t="str">
        <x:v>将无同为反问式揣度，不译为简单没有相同；不暗示只凭短话就能获任用。</x:v>
      </x:c>
      <x:c r="O311" s="9" t="str">
        <x:v>随席取意</x:v>
      </x:c>
      <x:c r="P311" s="9" t="str">
        <x:v>未限定</x:v>
      </x:c>
      <x:c r="Q311" s="9" t="str">
        <x:v>未限定</x:v>
      </x:c>
      <x:c r="R311" s="9" t="str">
        <x:v>引句后整理</x:v>
      </x:c>
      <x:c r="S311" s="9" t="str">
        <x:v>诙谐</x:v>
      </x:c>
      <x:c r="T311" s="9" t="str">
        <x:v>我以茶代酒，心意一样真。</x:v>
      </x:c>
      <x:c r="U311" s="9" t="str">
        <x:v>With tea in my cup and the same warm wishes.</x:v>
      </x:c>
      <x:c r="V311" s="9" t="str">
        <x:v>谢谢你这一杯，我也回一句短的。话不求多，心意是真的：愿你忙有收获，闲有知己，往后见面常欢喜。借这则旧事的一句：“将无同？”</x:v>
      </x:c>
      <x:c r="W311" s="9" t="str">
        <x:v>谢谢你这一杯，我也回一句短的。话不求多，心意是真的：愿你忙有收获，闲有知己，往后见面常欢喜。
《世说新语》里记载：“将无同？”你的好意我记下了，这份祝福也认真回给你。</x:v>
      </x:c>
      <x:c r="X311" s="9" t="str">
        <x:v>spoken</x:v>
      </x:c>
      <x:c r="Y311" s="9" t="str">
        <x:v>story-3</x:v>
      </x:c>
      <x:c r="Z311" s="9" t="str"/>
      <x:c r="AA311" s="12" t="str"/>
    </x:row>
    <x:row r="312" ht="72" customHeight="1">
      <x:c r="A312" s="8" t="str">
        <x:v>r04-story-20-2</x:v>
      </x:c>
      <x:c r="B312" s="10" t="n">
        <x:v>1</x:v>
      </x:c>
      <x:c r="C312" s="8" t="str">
        <x:v>当前推荐</x:v>
      </x:c>
      <x:c r="D312" s="8" t="str">
        <x:v>别人敬我</x:v>
      </x:c>
      <x:c r="E312" s="8" t="str">
        <x:v>全桌</x:v>
      </x:c>
      <x:c r="F312" s="8" t="str">
        <x:v>古人也会词穷吗 · 再说一句</x:v>
      </x:c>
      <x:c r="G312" s="8" t="str">
        <x:v>谢谢你这一杯。我把长篇省下，祝福不省：愿你所忙有所得，所闲有趣味，想见的人常能坐到一桌。借这则旧事的一句：“相识已多，不烦复尔。”</x:v>
      </x:c>
      <x:c r="H312" s="8" t="str">
        <x:v>谢谢你这一杯。我把长篇省下，祝福不省：愿你所忙有所得，所闲有趣味，想见的人常能坐到一桌。
《世说新语》里记载：“相识已多，不烦复尔。”你的好意我记下了，这份祝福也认真回给你。</x:v>
      </x:c>
      <x:c r="I312" s="8" t="str">
        <x:v>Short words, warm wishes, and no pressure to make a speech. Here is to another good day together.</x:v>
      </x:c>
      <x:c r="J312" s="8" t="str">
        <x:v>话短、祝福暖，也不用勉强长篇发言。也盼再有同聚的好日子。</x:v>
      </x:c>
      <x:c r="K312" s="8" t="str">
        <x:v>r04-story-20</x:v>
      </x:c>
      <x:c r="L312" s="8" t="str">
        <x:v>《世说新语·方正第五十六则》罗君章不强作交谈</x:v>
      </x:c>
      <x:c r="M312" s="8" t="str">
        <x:v>相识已多，不烦复尔。</x:v>
      </x:c>
      <x:c r="N312" s="8" t="str">
        <x:v>罗含简傲答语并非现代社交范本；借来轻轻自嘲，不让用户照说以拒客。</x:v>
      </x:c>
      <x:c r="O312" s="8" t="str">
        <x:v>随席取意</x:v>
      </x:c>
      <x:c r="P312" s="8" t="str">
        <x:v>未限定</x:v>
      </x:c>
      <x:c r="Q312" s="8" t="str">
        <x:v>未限定</x:v>
      </x:c>
      <x:c r="R312" s="8" t="str">
        <x:v>引句后整理</x:v>
      </x:c>
      <x:c r="S312" s="8" t="str">
        <x:v>诙谐</x:v>
      </x:c>
      <x:c r="T312" s="8" t="str">
        <x:v>我以茶代酒，心意一样真。</x:v>
      </x:c>
      <x:c r="U312" s="8" t="str">
        <x:v>With tea in my cup and the same warm wishes.</x:v>
      </x:c>
      <x:c r="V312" s="8" t="str">
        <x:v>谢谢你这一杯。我把长篇省下，祝福不省：愿你所忙有所得，所闲有趣味，想见的人常能坐到一桌。借这则旧事的一句：“相识已多，不烦复尔。”</x:v>
      </x:c>
      <x:c r="W312" s="8" t="str">
        <x:v>谢谢你这一杯。我把长篇省下，祝福不省：愿你所忙有所得，所闲有趣味，想见的人常能坐到一桌。
《世说新语》里记载：“相识已多，不烦复尔。”你的好意我记下了，这份祝福也认真回给你。</x:v>
      </x:c>
      <x:c r="X312" s="8" t="str">
        <x:v>spoken</x:v>
      </x:c>
      <x:c r="Y312" s="8" t="str">
        <x:v>story-3</x:v>
      </x:c>
      <x:c r="Z312" s="8" t="str"/>
      <x:c r="AA312" s="12" t="str"/>
    </x:row>
    <x:row r="313" ht="57" customHeight="1">
      <x:c r="A313" s="9" t="str">
        <x:v>reply-01</x:v>
      </x:c>
      <x:c r="B313" s="11" t="n">
        <x:v>1</x:v>
      </x:c>
      <x:c r="C313" s="9" t="str">
        <x:v>当前推荐</x:v>
      </x:c>
      <x:c r="D313" s="9" t="str">
        <x:v>别人敬我</x:v>
      </x:c>
      <x:c r="E313" s="9" t="str">
        <x:v>全桌</x:v>
      </x:c>
      <x:c r="F313" s="9" t="str">
        <x:v>好话收下，心意敬回</x:v>
      </x:c>
      <x:c r="G313" s="9" t="str">
        <x:v>好话我收下，心意敬回来；愿你送来的祝福，也照亮自己的日常。
借这一杯，敬大家。</x:v>
      </x:c>
      <x:c r="H313" s="9" t="str">
        <x:v>刚才的好话我认真收下，这一杯把心意敬回来。愿你送来的祝福，也照亮自己的日常；愿我们说好话、做好事，把彼此的日子照应得更温暖。
借这一杯，敬大家。</x:v>
      </x:c>
      <x:c r="I313" s="9" t="str">
        <x:v>Thank you for your kind words. May those good wishes come back to you.</x:v>
      </x:c>
      <x:c r="J313" s="9" t="str">
        <x:v>谢谢你的祝福，也愿这份美好回到你身边。</x:v>
      </x:c>
      <x:c r="K313" s="9" t="str">
        <x:v>rhythm</x:v>
      </x:c>
      <x:c r="L313" s="9" t="str">
        <x:v>把话写给耳朵听</x:v>
      </x:c>
      <x:c r="M313" s="9" t="str"/>
      <x:c r="N313" s="9" t="str">
        <x:v>先听完对方的话，再自然接住。</x:v>
      </x:c>
      <x:c r="O313" s="9" t="str">
        <x:v>未限定</x:v>
      </x:c>
      <x:c r="P313" s="9" t="str">
        <x:v>未限定</x:v>
      </x:c>
      <x:c r="Q313" s="9" t="str">
        <x:v>未限定</x:v>
      </x:c>
      <x:c r="R313" s="9" t="str">
        <x:v>依据表达方法整理</x:v>
      </x:c>
      <x:c r="S313" s="9" t="str">
        <x:v>雅致</x:v>
      </x:c>
      <x:c r="T313" s="9" t="str"/>
      <x:c r="U313" s="9" t="str"/>
      <x:c r="V313" s="9" t="str">
        <x:v>好话我收下，心意敬回来；愿你送来的祝福，也照亮自己的日常。</x:v>
      </x:c>
      <x:c r="W313" s="9" t="str">
        <x:v>刚才的好话我认真收下，这一杯把心意敬回来。愿你送来的祝福，也照亮自己的日常；愿我们说好话、做好事，把彼此的日子照应得更温暖。</x:v>
      </x:c>
      <x:c r="X313" s="9" t="str"/>
      <x:c r="Y313" s="9" t="str"/>
      <x:c r="Z313" s="9" t="str"/>
      <x:c r="AA313" s="12" t="str"/>
    </x:row>
    <x:row r="314" ht="57" customHeight="1">
      <x:c r="A314" s="8" t="str">
        <x:v>reply-02</x:v>
      </x:c>
      <x:c r="B314" s="10" t="n">
        <x:v>1</x:v>
      </x:c>
      <x:c r="C314" s="8" t="str">
        <x:v>当前推荐</x:v>
      </x:c>
      <x:c r="D314" s="8" t="str">
        <x:v>别人敬我</x:v>
      </x:c>
      <x:c r="E314" s="8" t="str">
        <x:v>全桌</x:v>
      </x:c>
      <x:c r="F314" s="8" t="str">
        <x:v>接一份祝愿，回一份好意</x:v>
      </x:c>
      <x:c r="G314" s="8" t="str">
        <x:v>承你吉言，也祝你所行顺意；一来一往，情谊更暖。
借这一杯，敬大家。</x:v>
      </x:c>
      <x:c r="H314" s="8" t="str">
        <x:v>承你吉言，这份祝愿我记在心里。今天也借这一杯，祝你忙碌有成，闲暇有乐。好意一来一往，日子就多一分温暖；愿我们各自顺遂，也常有相聚。
借这一杯，敬大家。</x:v>
      </x:c>
      <x:c r="I314" s="8" t="str">
        <x:v>Thank you for your good wishes. May your days be rewarding and joyful too.</x:v>
      </x:c>
      <x:c r="J314" s="8" t="str">
        <x:v>谢谢你的祝愿，也祝你的日子有收获、有欢喜。</x:v>
      </x:c>
      <x:c r="K314" s="8" t="str">
        <x:v>rhythm</x:v>
      </x:c>
      <x:c r="L314" s="8" t="str">
        <x:v>把话写给耳朵听</x:v>
      </x:c>
      <x:c r="M314" s="8" t="str"/>
      <x:c r="N314" s="8" t="str">
        <x:v>“承你吉言”对平辈适用；不指定酒量。</x:v>
      </x:c>
      <x:c r="O314" s="8" t="str">
        <x:v>未限定</x:v>
      </x:c>
      <x:c r="P314" s="8" t="str">
        <x:v>未限定</x:v>
      </x:c>
      <x:c r="Q314" s="8" t="str">
        <x:v>未限定</x:v>
      </x:c>
      <x:c r="R314" s="8" t="str">
        <x:v>依据表达方法整理</x:v>
      </x:c>
      <x:c r="S314" s="8" t="str">
        <x:v>雅致</x:v>
      </x:c>
      <x:c r="T314" s="8" t="str"/>
      <x:c r="U314" s="8" t="str"/>
      <x:c r="V314" s="8" t="str">
        <x:v>承你吉言，也祝你所行顺意；一来一往，情谊更暖。</x:v>
      </x:c>
      <x:c r="W314" s="8" t="str">
        <x:v>承你吉言，这份祝愿我记在心里。今天也借这一杯，祝你忙碌有成，闲暇有乐。好意一来一往，日子就多一分温暖；愿我们各自顺遂，也常有相聚。</x:v>
      </x:c>
      <x:c r="X314" s="8" t="str"/>
      <x:c r="Y314" s="8" t="str"/>
      <x:c r="Z314" s="8" t="str"/>
      <x:c r="AA314" s="12" t="str"/>
    </x:row>
    <x:row r="315" ht="42" customHeight="1">
      <x:c r="A315" s="9" t="str">
        <x:v>spoken-reply-01</x:v>
      </x:c>
      <x:c r="B315" s="11" t="n">
        <x:v>1</x:v>
      </x:c>
      <x:c r="C315" s="9" t="str">
        <x:v>当前推荐</x:v>
      </x:c>
      <x:c r="D315" s="9" t="str">
        <x:v>别人敬我</x:v>
      </x:c>
      <x:c r="E315" s="9" t="str">
        <x:v>全桌</x:v>
      </x:c>
      <x:c r="F315" s="9" t="str">
        <x:v>好话我收到了</x:v>
      </x:c>
      <x:c r="G315" s="9" t="str">
        <x:v>谢谢你，好话我都收到了。也祝你最近的事顺顺利利，咱们一起往好的地方走。</x:v>
      </x:c>
      <x:c r="H315" s="9" t="str">
        <x:v>谢谢你的祝福，我听着心里挺暖的。今天也把这份好意还给你，祝你工作顺利，生活开心，惦记的事慢慢有好结果。来，我也敬你。</x:v>
      </x:c>
      <x:c r="I315" s="9" t="str">
        <x:v>Thank you for those warm words. Wishing you good days and good things ahead too.</x:v>
      </x:c>
      <x:c r="J315" s="9" t="str">
        <x:v>谢谢这份温暖，也祝你往后日子顺、好事多。</x:v>
      </x:c>
      <x:c r="K315" s="9" t="str">
        <x:v>rhythm</x:v>
      </x:c>
      <x:c r="L315" s="9" t="str">
        <x:v>把话写给耳朵听</x:v>
      </x:c>
      <x:c r="M315" s="9" t="str"/>
      <x:c r="N315" s="9" t="str">
        <x:v>先听完对方的祝福再接话；这里不额外区分辈分，按平辈口吻使用。</x:v>
      </x:c>
      <x:c r="O315" s="9" t="str">
        <x:v>未限定</x:v>
      </x:c>
      <x:c r="P315" s="9" t="str">
        <x:v>未限定</x:v>
      </x:c>
      <x:c r="Q315" s="9" t="str">
        <x:v>未限定</x:v>
      </x:c>
      <x:c r="R315" s="9" t="str">
        <x:v>依据表达方法整理</x:v>
      </x:c>
      <x:c r="S315" s="9" t="str">
        <x:v>雅致</x:v>
      </x:c>
      <x:c r="T315" s="9" t="str">
        <x:v>我以茶代酒，也把祝福送给你。</x:v>
      </x:c>
      <x:c r="U315" s="9" t="str">
        <x:v>I’m raising a cup of tea, with the same warm wishes.</x:v>
      </x:c>
      <x:c r="V315" s="9" t="str">
        <x:v>谢谢你，好话我都收到了。也祝你最近的事顺顺利利，咱们一起往好的地方走。</x:v>
      </x:c>
      <x:c r="W315" s="9" t="str">
        <x:v>谢谢你的祝福，我听着心里挺暖的。今天也把这份好意还给你，祝你工作顺利，生活开心，惦记的事慢慢有好结果。来，我也敬你。</x:v>
      </x:c>
      <x:c r="X315" s="9" t="str">
        <x:v>spoken</x:v>
      </x:c>
      <x:c r="Y315" s="9" t="str">
        <x:v>plain</x:v>
      </x:c>
      <x:c r="Z315" s="9" t="str"/>
      <x:c r="AA315" s="12" t="str"/>
    </x:row>
    <x:row r="316" ht="42" customHeight="1">
      <x:c r="A316" s="8" t="str">
        <x:v>spoken-reply-02</x:v>
      </x:c>
      <x:c r="B316" s="10" t="n">
        <x:v>1</x:v>
      </x:c>
      <x:c r="C316" s="8" t="str">
        <x:v>当前推荐</x:v>
      </x:c>
      <x:c r="D316" s="8" t="str">
        <x:v>别人敬我</x:v>
      </x:c>
      <x:c r="E316" s="8" t="str">
        <x:v>全桌</x:v>
      </x:c>
      <x:c r="F316" s="8" t="str">
        <x:v>借你吉言，也祝你好</x:v>
      </x:c>
      <x:c r="G316" s="8" t="str">
        <x:v>借你吉言，也把祝福送回给你。愿咱们各自都好，有空还坐一桌。</x:v>
      </x:c>
      <x:c r="H316" s="8" t="str">
        <x:v>借你吉言，这份祝福我认真收下了。今天也祝你手头的事办得顺，心里的事想得开。往后大家各自忙得有收获，也别少了像今天这样见面的机会。</x:v>
      </x:c>
      <x:c r="I316" s="8" t="str">
        <x:v>Thank you for your good wishes. May they come true for both of us.</x:v>
      </x:c>
      <x:c r="J316" s="8" t="str">
        <x:v>谢谢你的祝愿，也愿我们都能过得顺心。</x:v>
      </x:c>
      <x:c r="K316" s="8" t="str">
        <x:v>rhythm</x:v>
      </x:c>
      <x:c r="L316" s="8" t="str">
        <x:v>把话写给耳朵听</x:v>
      </x:c>
      <x:c r="M316" s="8" t="str"/>
      <x:c r="N316" s="8" t="str">
        <x:v>先听完对方的祝福再接话；这里不额外区分辈分，按平辈口吻使用。</x:v>
      </x:c>
      <x:c r="O316" s="8" t="str">
        <x:v>未限定</x:v>
      </x:c>
      <x:c r="P316" s="8" t="str">
        <x:v>未限定</x:v>
      </x:c>
      <x:c r="Q316" s="8" t="str">
        <x:v>未限定</x:v>
      </x:c>
      <x:c r="R316" s="8" t="str">
        <x:v>依据表达方法整理</x:v>
      </x:c>
      <x:c r="S316" s="8" t="str">
        <x:v>雅致</x:v>
      </x:c>
      <x:c r="T316" s="8" t="str">
        <x:v>我用茶回敬一份好意，祝你顺心。</x:v>
      </x:c>
      <x:c r="U316" s="8" t="str">
        <x:v>I’m raising a cup of tea, with the same warm wishes.</x:v>
      </x:c>
      <x:c r="V316" s="8" t="str">
        <x:v>借你吉言，也把祝福送回给你。愿咱们各自都好，有空还坐一桌。</x:v>
      </x:c>
      <x:c r="W316" s="8" t="str">
        <x:v>借你吉言，这份祝福我认真收下了。今天也祝你手头的事办得顺，心里的事想得开。往后大家各自忙得有收获，也别少了像今天这样见面的机会。</x:v>
      </x:c>
      <x:c r="X316" s="8" t="str">
        <x:v>spoken</x:v>
      </x:c>
      <x:c r="Y316" s="8" t="str">
        <x:v>plain</x:v>
      </x:c>
      <x:c r="Z316" s="8" t="str"/>
      <x:c r="AA316" s="12" t="str"/>
    </x:row>
    <x:row r="317" ht="42" customHeight="1">
      <x:c r="A317" s="9" t="str">
        <x:v>spoken-reply-03</x:v>
      </x:c>
      <x:c r="B317" s="11" t="n">
        <x:v>1</x:v>
      </x:c>
      <x:c r="C317" s="9" t="str">
        <x:v>当前推荐</x:v>
      </x:c>
      <x:c r="D317" s="9" t="str">
        <x:v>别人敬我</x:v>
      </x:c>
      <x:c r="E317" s="9" t="str">
        <x:v>全桌</x:v>
      </x:c>
      <x:c r="F317" s="9" t="str">
        <x:v>心意比话更暖</x:v>
      </x:c>
      <x:c r="G317" s="9" t="str">
        <x:v>谢谢你这句话，我记住了。今天这杯也敬你，愿你常有好消息，也常有人惦记。</x:v>
      </x:c>
      <x:c r="H317" s="9" t="str">
        <x:v>有些话不用说得很长，听得出里面的心意，就挺暖的。谢谢你今天的祝福，我也敬你一杯。祝你日子过得踏实，身边常有愿意听你说话的人。</x:v>
      </x:c>
      <x:c r="I317" s="9" t="str">
        <x:v>Your thoughtfulness means a lot. Here’s to good news and people who care about you.</x:v>
      </x:c>
      <x:c r="J317" s="9" t="str">
        <x:v>这份用心很珍贵，也祝你常有好消息、身边有人关心。</x:v>
      </x:c>
      <x:c r="K317" s="9" t="str">
        <x:v>thanks</x:v>
      </x:c>
      <x:c r="L317" s="9" t="str">
        <x:v>感谢要有落点</x:v>
      </x:c>
      <x:c r="M317" s="9" t="str"/>
      <x:c r="N317" s="9" t="str">
        <x:v>先听完对方的祝福再接话；这里不额外区分辈分，按平辈口吻使用。</x:v>
      </x:c>
      <x:c r="O317" s="9" t="str">
        <x:v>未限定</x:v>
      </x:c>
      <x:c r="P317" s="9" t="str">
        <x:v>未限定</x:v>
      </x:c>
      <x:c r="Q317" s="9" t="str">
        <x:v>未限定</x:v>
      </x:c>
      <x:c r="R317" s="9" t="str">
        <x:v>依据表达方法整理</x:v>
      </x:c>
      <x:c r="S317" s="9" t="str">
        <x:v>雅致</x:v>
      </x:c>
      <x:c r="T317" s="9" t="str">
        <x:v>杯里是茶，祝福照样送到。</x:v>
      </x:c>
      <x:c r="U317" s="9" t="str">
        <x:v>I’m raising a cup of tea, with the same warm wishes.</x:v>
      </x:c>
      <x:c r="V317" s="9" t="str">
        <x:v>谢谢你这句话，我记住了。今天这杯也敬你，愿你常有好消息，也常有人惦记。</x:v>
      </x:c>
      <x:c r="W317" s="9" t="str">
        <x:v>有些话不用说得很长，听得出里面的心意，就挺暖的。谢谢你今天的祝福，我也敬你一杯。祝你日子过得踏实，身边常有愿意听你说话的人。</x:v>
      </x:c>
      <x:c r="X317" s="9" t="str">
        <x:v>spoken</x:v>
      </x:c>
      <x:c r="Y317" s="9" t="str">
        <x:v>plain</x:v>
      </x:c>
      <x:c r="Z317" s="9" t="str"/>
      <x:c r="AA317" s="12" t="str"/>
    </x:row>
    <x:row r="318" ht="42" customHeight="1">
      <x:c r="A318" s="8" t="str">
        <x:v>spoken-reply-06</x:v>
      </x:c>
      <x:c r="B318" s="10" t="n">
        <x:v>1</x:v>
      </x:c>
      <x:c r="C318" s="8" t="str">
        <x:v>当前推荐</x:v>
      </x:c>
      <x:c r="D318" s="8" t="str">
        <x:v>别人敬我</x:v>
      </x:c>
      <x:c r="E318" s="8" t="str">
        <x:v>全桌</x:v>
      </x:c>
      <x:c r="F318" s="8" t="str">
        <x:v>相遇有这份好意，值得敬</x:v>
      </x:c>
      <x:c r="G318" s="8" t="str">
        <x:v>借一句“欣于所遇”，谢谢今天遇到的这份好意。我也敬你，愿你往后常有开心事。</x:v>
      </x:c>
      <x:c r="H318" s="8" t="str">
        <x:v>借一句“欣于所遇”，你的这份祝福，正是今天值得高兴的事。谢谢你，我也回敬一杯。愿你忙的事都慢慢有着落，身边的人也都平平安安。</x:v>
      </x:c>
      <x:c r="I318" s="8" t="str">
        <x:v>Your kind words are part of what makes today special. Warm wishes to you too.</x:v>
      </x:c>
      <x:c r="J318" s="8" t="str">
        <x:v>你的祝福让今天更开心，也把好祝愿送给你。</x:v>
      </x:c>
      <x:c r="K318" s="8" t="str">
        <x:v>lantingMeet</x:v>
      </x:c>
      <x:c r="L318" s="8" t="str">
        <x:v>欣于所遇，珍惜此刻</x:v>
      </x:c>
      <x:c r="M318" s="8" t="str">
        <x:v>欣于所遇</x:v>
      </x:c>
      <x:c r="N318" s="8" t="str">
        <x:v>先听完对方的祝福再接话；这里不额外区分辈分，按平辈口吻使用。</x:v>
      </x:c>
      <x:c r="O318" s="8" t="str">
        <x:v>未限定</x:v>
      </x:c>
      <x:c r="P318" s="8" t="str">
        <x:v>未限定</x:v>
      </x:c>
      <x:c r="Q318" s="8" t="str">
        <x:v>未限定</x:v>
      </x:c>
      <x:c r="R318" s="8" t="str">
        <x:v>引句后整理</x:v>
      </x:c>
      <x:c r="S318" s="8" t="str">
        <x:v>雅致</x:v>
      </x:c>
      <x:c r="T318" s="8" t="str">
        <x:v>杯里是茶，祝福照样送到。</x:v>
      </x:c>
      <x:c r="U318" s="8" t="str">
        <x:v>I’m raising a cup of tea, with the same warm wishes.</x:v>
      </x:c>
      <x:c r="V318" s="8" t="str">
        <x:v>借一句“欣于所遇”，谢谢今天遇到的这份好意。我也敬你，愿你往后常有开心事。</x:v>
      </x:c>
      <x:c r="W318" s="8" t="str">
        <x:v>借一句“欣于所遇”，你的这份祝福，正是今天值得高兴的事。谢谢你，我也回敬一杯。愿你忙的事都慢慢有着落，身边的人也都平平安安。</x:v>
      </x:c>
      <x:c r="X318" s="8" t="str">
        <x:v>spoken</x:v>
      </x:c>
      <x:c r="Y318" s="8" t="str">
        <x:v>verse</x:v>
      </x:c>
      <x:c r="Z318" s="8" t="str"/>
      <x:c r="AA318" s="12" t="str"/>
    </x:row>
    <x:row r="319" ht="42" customHeight="1">
      <x:c r="A319" s="9" t="str">
        <x:v>spoken-reply-07</x:v>
      </x:c>
      <x:c r="B319" s="11" t="n">
        <x:v>1</x:v>
      </x:c>
      <x:c r="C319" s="9" t="str">
        <x:v>当前推荐</x:v>
      </x:c>
      <x:c r="D319" s="9" t="str">
        <x:v>别人敬我</x:v>
      </x:c>
      <x:c r="E319" s="9" t="str">
        <x:v>全桌</x:v>
      </x:c>
      <x:c r="F319" s="9" t="str">
        <x:v>好话收下，好事一起等</x:v>
      </x:c>
      <x:c r="G319" s="9" t="str">
        <x:v>好话我先收下，好事咱们一起等。来，也祝你顺顺当当，开心的事多一点。</x:v>
      </x:c>
      <x:c r="H319" s="9" t="str">
        <x:v>你这几句好话，把我都说高兴了。那我也不光顾着收，祝福得有来有往：祝你工作顺，生活甜，睡个好觉，醒来又有好消息。来，我也敬你。</x:v>
      </x:c>
      <x:c r="I319" s="9" t="str">
        <x:v>I’ll gladly take those good wishes—and send a whole lot back your way!</x:v>
      </x:c>
      <x:c r="J319" s="9" t="str">
        <x:v>好祝福我开心收下，也把满满的祝福送回给你。</x:v>
      </x:c>
      <x:c r="K319" s="9" t="str">
        <x:v>rhythm</x:v>
      </x:c>
      <x:c r="L319" s="9" t="str">
        <x:v>把话写给耳朵听</x:v>
      </x:c>
      <x:c r="M319" s="9" t="str"/>
      <x:c r="N319" s="9" t="str">
        <x:v>先听完对方的祝福再接话；这里不额外区分辈分，按平辈口吻使用。</x:v>
      </x:c>
      <x:c r="O319" s="9" t="str">
        <x:v>未限定</x:v>
      </x:c>
      <x:c r="P319" s="9" t="str">
        <x:v>未限定</x:v>
      </x:c>
      <x:c r="Q319" s="9" t="str">
        <x:v>未限定</x:v>
      </x:c>
      <x:c r="R319" s="9" t="str">
        <x:v>依据表达方法整理</x:v>
      </x:c>
      <x:c r="S319" s="9" t="str">
        <x:v>诙谐</x:v>
      </x:c>
      <x:c r="T319" s="9" t="str">
        <x:v>我以茶代酒，也把祝福送给你。</x:v>
      </x:c>
      <x:c r="U319" s="9" t="str">
        <x:v>I’m raising a cup of tea, with the same warm wishes.</x:v>
      </x:c>
      <x:c r="V319" s="9" t="str">
        <x:v>好话我先收下，好事咱们一起等。来，也祝你顺顺当当，开心的事多一点。</x:v>
      </x:c>
      <x:c r="W319" s="9" t="str">
        <x:v>你这几句好话，把我都说高兴了。那我也不光顾着收，祝福得有来有往：祝你工作顺，生活甜，睡个好觉，醒来又有好消息。来，我也敬你。</x:v>
      </x:c>
      <x:c r="X319" s="9" t="str">
        <x:v>spoken</x:v>
      </x:c>
      <x:c r="Y319" s="9" t="str">
        <x:v>fun</x:v>
      </x:c>
      <x:c r="Z319" s="9" t="str"/>
      <x:c r="AA319" s="12" t="str"/>
    </x:row>
    <x:row r="320" ht="42" customHeight="1">
      <x:c r="A320" s="8" t="str">
        <x:v>spoken-reply-08</x:v>
      </x:c>
      <x:c r="B320" s="10" t="n">
        <x:v>1</x:v>
      </x:c>
      <x:c r="C320" s="8" t="str">
        <x:v>当前推荐</x:v>
      </x:c>
      <x:c r="D320" s="8" t="str">
        <x:v>别人敬我</x:v>
      </x:c>
      <x:c r="E320" s="8" t="str">
        <x:v>全桌</x:v>
      </x:c>
      <x:c r="F320" s="8" t="str">
        <x:v>这份好意，必须接住</x:v>
      </x:c>
      <x:c r="G320" s="8" t="str">
        <x:v>这么好的祝福，我得稳稳接住。也敬你一杯，祝你事好办、人好处、日子好过。</x:v>
      </x:c>
      <x:c r="H320" s="8" t="str">
        <x:v>这份祝福说得这么到位，我可得稳稳接住。谢谢你，今天也祝你事好办、人好处，日子越过越有滋味。来，我这杯敬回来，咱们都高高兴兴。</x:v>
      </x:c>
      <x:c r="I320" s="8" t="str">
        <x:v>Thank you for such lovely wishes. Here’s to easier days and more reasons to smile.</x:v>
      </x:c>
      <x:c r="J320" s="8" t="str">
        <x:v>谢谢这么好的祝福，也愿大家日子轻松些、笑容多一些。</x:v>
      </x:c>
      <x:c r="K320" s="8" t="str">
        <x:v>rhythm</x:v>
      </x:c>
      <x:c r="L320" s="8" t="str">
        <x:v>把话写给耳朵听</x:v>
      </x:c>
      <x:c r="M320" s="8" t="str"/>
      <x:c r="N320" s="8" t="str">
        <x:v>先听完对方的祝福再接话；这里不额外区分辈分，按平辈口吻使用。</x:v>
      </x:c>
      <x:c r="O320" s="8" t="str">
        <x:v>未限定</x:v>
      </x:c>
      <x:c r="P320" s="8" t="str">
        <x:v>未限定</x:v>
      </x:c>
      <x:c r="Q320" s="8" t="str">
        <x:v>未限定</x:v>
      </x:c>
      <x:c r="R320" s="8" t="str">
        <x:v>依据表达方法整理</x:v>
      </x:c>
      <x:c r="S320" s="8" t="str">
        <x:v>诙谐</x:v>
      </x:c>
      <x:c r="T320" s="8" t="str">
        <x:v>我用茶回敬一份好意，祝你顺心。</x:v>
      </x:c>
      <x:c r="U320" s="8" t="str">
        <x:v>I’m raising a cup of tea, with the same warm wishes.</x:v>
      </x:c>
      <x:c r="V320" s="8" t="str">
        <x:v>这么好的祝福，我得稳稳接住。也敬你一杯，祝你事好办、人好处、日子好过。</x:v>
      </x:c>
      <x:c r="W320" s="8" t="str">
        <x:v>这份祝福说得这么到位，我可得稳稳接住。谢谢你，今天也祝你事好办、人好处，日子越过越有滋味。来，我这杯敬回来，咱们都高高兴兴。</x:v>
      </x:c>
      <x:c r="X320" s="8" t="str">
        <x:v>spoken</x:v>
      </x:c>
      <x:c r="Y320" s="8" t="str">
        <x:v>fun</x:v>
      </x:c>
      <x:c r="Z320" s="8" t="str"/>
      <x:c r="AA320" s="12" t="str"/>
    </x:row>
    <x:row r="321" ht="42" customHeight="1">
      <x:c r="A321" s="9" t="str">
        <x:v>spoken-reply-09</x:v>
      </x:c>
      <x:c r="B321" s="11" t="n">
        <x:v>1</x:v>
      </x:c>
      <x:c r="C321" s="9" t="str">
        <x:v>当前推荐</x:v>
      </x:c>
      <x:c r="D321" s="9" t="str">
        <x:v>别人敬我</x:v>
      </x:c>
      <x:c r="E321" s="9" t="str">
        <x:v>全桌</x:v>
      </x:c>
      <x:c r="F321" s="9" t="str">
        <x:v>谢谢，也把好运送给你</x:v>
      </x:c>
      <x:c r="G321" s="9" t="str">
        <x:v>谢谢你的祝福，我也把好运送给你。愿你手头的事顺，心里惦记的事也慢慢有结果。</x:v>
      </x:c>
      <x:c r="H321" s="9" t="str">
        <x:v>你刚才的话，我认真收到了。也祝你忙的事情都慢慢有好结果，生活里有人关心，遇到难处有人商量。这杯我敬回来，咱们都好。</x:v>
      </x:c>
      <x:c r="I321" s="9" t="str">
        <x:v>Thank you, and may good fortune come your way too. Wishing you progress and support.</x:v>
      </x:c>
      <x:c r="J321" s="9" t="str">
        <x:v>谢谢，也愿你有好运、事情有进展，身边有人支持。</x:v>
      </x:c>
      <x:c r="K321" s="9" t="str">
        <x:v>thanks</x:v>
      </x:c>
      <x:c r="L321" s="9" t="str">
        <x:v>感谢要有落点</x:v>
      </x:c>
      <x:c r="M321" s="9" t="str"/>
      <x:c r="N321" s="9" t="str">
        <x:v>先听完对方的祝福再接话；这里不额外区分辈分，按平辈口吻使用。</x:v>
      </x:c>
      <x:c r="O321" s="9" t="str">
        <x:v>未限定</x:v>
      </x:c>
      <x:c r="P321" s="9" t="str">
        <x:v>未限定</x:v>
      </x:c>
      <x:c r="Q321" s="9" t="str">
        <x:v>未限定</x:v>
      </x:c>
      <x:c r="R321" s="9" t="str">
        <x:v>依据表达方法整理</x:v>
      </x:c>
      <x:c r="S321" s="9" t="str">
        <x:v>雅致</x:v>
      </x:c>
      <x:c r="T321" s="9" t="str">
        <x:v>杯里是茶，祝福照样送到。</x:v>
      </x:c>
      <x:c r="U321" s="9" t="str">
        <x:v>I’m raising a cup of tea, with the same warm wishes.</x:v>
      </x:c>
      <x:c r="V321" s="9" t="str">
        <x:v>谢谢你的祝福，我也把好运送给你。愿你手头的事顺，心里惦记的事也慢慢有结果。</x:v>
      </x:c>
      <x:c r="W321" s="9" t="str">
        <x:v>你刚才的话，我认真收到了。也祝你忙的事情都慢慢有好结果，生活里有人关心，遇到难处有人商量。这杯我敬回来，咱们都好。</x:v>
      </x:c>
      <x:c r="X321" s="9" t="str">
        <x:v>spoken</x:v>
      </x:c>
      <x:c r="Y321" s="9" t="str">
        <x:v>plain</x:v>
      </x:c>
      <x:c r="Z321" s="9" t="str"/>
      <x:c r="AA321" s="12" t="str"/>
    </x:row>
    <x:row r="322" ht="42" customHeight="1">
      <x:c r="A322" s="8" t="str">
        <x:v>spoken-reply-11</x:v>
      </x:c>
      <x:c r="B322" s="10" t="n">
        <x:v>1</x:v>
      </x:c>
      <x:c r="C322" s="8" t="str">
        <x:v>当前推荐</x:v>
      </x:c>
      <x:c r="D322" s="8" t="str">
        <x:v>别人敬我</x:v>
      </x:c>
      <x:c r="E322" s="8" t="str">
        <x:v>全桌</x:v>
      </x:c>
      <x:c r="F322" s="8" t="str">
        <x:v>先收好，再敬回来</x:v>
      </x:c>
      <x:c r="G322" s="8" t="str">
        <x:v>这么好的祝福，我先收好，不能光收不回。这杯也敬你，祝你顺心又开心。</x:v>
      </x:c>
      <x:c r="H322" s="8" t="str">
        <x:v>这份祝福我可不推辞，先好好收下。也不能让你白送一趟，我这杯敬回来：祝你每天都能碰到点好事，忙归忙，也有自己的开心。</x:v>
      </x:c>
      <x:c r="I322" s="8" t="str">
        <x:v>I’ll happily accept those wishes—and send some back. Here’s to your happiness too!</x:v>
      </x:c>
      <x:c r="J322" s="8" t="str">
        <x:v>祝福我开心收下，也送回给你，祝你同样开心。</x:v>
      </x:c>
      <x:c r="K322" s="8" t="str">
        <x:v>rhythm</x:v>
      </x:c>
      <x:c r="L322" s="8" t="str">
        <x:v>把话写给耳朵听</x:v>
      </x:c>
      <x:c r="M322" s="8" t="str"/>
      <x:c r="N322" s="8" t="str">
        <x:v>先听完对方的祝福再接话；这里不额外区分辈分，按平辈口吻使用。</x:v>
      </x:c>
      <x:c r="O322" s="8" t="str">
        <x:v>未限定</x:v>
      </x:c>
      <x:c r="P322" s="8" t="str">
        <x:v>未限定</x:v>
      </x:c>
      <x:c r="Q322" s="8" t="str">
        <x:v>未限定</x:v>
      </x:c>
      <x:c r="R322" s="8" t="str">
        <x:v>依据表达方法整理</x:v>
      </x:c>
      <x:c r="S322" s="8" t="str">
        <x:v>诙谐</x:v>
      </x:c>
      <x:c r="T322" s="8" t="str">
        <x:v>我用茶回敬一份好意，祝你顺心。</x:v>
      </x:c>
      <x:c r="U322" s="8" t="str">
        <x:v>I’m raising a cup of tea, with the same warm wishes.</x:v>
      </x:c>
      <x:c r="V322" s="8" t="str">
        <x:v>这么好的祝福，我先收好，不能光收不回。这杯也敬你，祝你顺心又开心。</x:v>
      </x:c>
      <x:c r="W322" s="8" t="str">
        <x:v>这份祝福我可不推辞，先好好收下。也不能让你白送一趟，我这杯敬回来：祝你每天都能碰到点好事，忙归忙，也有自己的开心。</x:v>
      </x:c>
      <x:c r="X322" s="8" t="str">
        <x:v>spoken</x:v>
      </x:c>
      <x:c r="Y322" s="8" t="str">
        <x:v>fun</x:v>
      </x:c>
      <x:c r="Z322" s="8" t="str"/>
      <x:c r="AA322" s="12" t="str"/>
    </x:row>
    <x:row r="323" ht="42" customHeight="1">
      <x:c r="A323" s="9" t="str">
        <x:v>spoken-reply-12</x:v>
      </x:c>
      <x:c r="B323" s="11" t="n">
        <x:v>1</x:v>
      </x:c>
      <x:c r="C323" s="9" t="str">
        <x:v>当前推荐</x:v>
      </x:c>
      <x:c r="D323" s="9" t="str">
        <x:v>别人敬我</x:v>
      </x:c>
      <x:c r="E323" s="9" t="str">
        <x:v>全桌</x:v>
      </x:c>
      <x:c r="F323" s="9" t="str">
        <x:v>好事咱们都有份</x:v>
      </x:c>
      <x:c r="G323" s="9" t="str">
        <x:v>承你吉言，好事咱们都有份。来，我也敬你，祝你顺顺利利，天天有点高兴事。</x:v>
      </x:c>
      <x:c r="H323" s="9" t="str">
        <x:v>你把祝福说得这么好，我就先借你的吉言。今天这杯也敬你，愿好事咱们都有份，工作顺一点，生活甜一点，下回见面又有新消息。</x:v>
      </x:c>
      <x:c r="I323" s="9" t="str">
        <x:v>May those good wishes come true for both of us. Here’s to more good news next time.</x:v>
      </x:c>
      <x:c r="J323" s="9" t="str">
        <x:v>愿这些祝福我们都能实现，也盼下回都有好消息。</x:v>
      </x:c>
      <x:c r="K323" s="9" t="str">
        <x:v>rhythm</x:v>
      </x:c>
      <x:c r="L323" s="9" t="str">
        <x:v>把话写给耳朵听</x:v>
      </x:c>
      <x:c r="M323" s="9" t="str"/>
      <x:c r="N323" s="9" t="str">
        <x:v>先听完对方的祝福再接话；这里不额外区分辈分，按平辈口吻使用。</x:v>
      </x:c>
      <x:c r="O323" s="9" t="str">
        <x:v>未限定</x:v>
      </x:c>
      <x:c r="P323" s="9" t="str">
        <x:v>未限定</x:v>
      </x:c>
      <x:c r="Q323" s="9" t="str">
        <x:v>未限定</x:v>
      </x:c>
      <x:c r="R323" s="9" t="str">
        <x:v>依据表达方法整理</x:v>
      </x:c>
      <x:c r="S323" s="9" t="str">
        <x:v>诙谐</x:v>
      </x:c>
      <x:c r="T323" s="9" t="str">
        <x:v>杯里是茶，祝福照样送到。</x:v>
      </x:c>
      <x:c r="U323" s="9" t="str">
        <x:v>I’m raising a cup of tea, with the same warm wishes.</x:v>
      </x:c>
      <x:c r="V323" s="9" t="str">
        <x:v>承你吉言，好事咱们都有份。来，我也敬你，祝你顺顺利利，天天有点高兴事。</x:v>
      </x:c>
      <x:c r="W323" s="9" t="str">
        <x:v>你把祝福说得这么好，我就先借你的吉言。今天这杯也敬你，愿好事咱们都有份，工作顺一点，生活甜一点，下回见面又有新消息。</x:v>
      </x:c>
      <x:c r="X323" s="9" t="str">
        <x:v>spoken</x:v>
      </x:c>
      <x:c r="Y323" s="9" t="str">
        <x:v>fun</x:v>
      </x:c>
      <x:c r="Z323" s="9" t="str"/>
      <x:c r="AA323" s="12" t="str"/>
    </x:row>
    <x:row r="324" ht="57" customHeight="1">
      <x:c r="A324" s="8" t="str">
        <x:v>verse-liu-renew</x:v>
      </x:c>
      <x:c r="B324" s="10" t="n">
        <x:v>1</x:v>
      </x:c>
      <x:c r="C324" s="8" t="str">
        <x:v>当前推荐</x:v>
      </x:c>
      <x:c r="D324" s="8" t="str">
        <x:v>别人敬我</x:v>
      </x:c>
      <x:c r="E324" s="8" t="str">
        <x:v>全桌</x:v>
      </x:c>
      <x:c r="F324" s="8" t="str">
        <x:v>好话收到，精神也添了</x:v>
      </x:c>
      <x:c r="G324" s="8" t="str">
        <x:v>“今日听君歌一曲，暂凭杯酒长精神。”借刘禹锡这句接住你的好话：暖心的不只在杯里，更在你这份心意。我也敬你，愿咱们都顺心。</x:v>
      </x:c>
      <x:c r="H324" s="8" t="str">
        <x:v>“今日听君歌一曲，暂凭杯酒长精神。”刘禹锡是在回应朋友，我今天也借这句接住你的祝福。让人添精神的，往往不是酒，是有人愿意把好话认真说给你听。谢谢你，我也回敬一份祝愿：愿你忙有所获，闲有所乐，心里有底气，身边有好意。</x:v>
      </x:c>
      <x:c r="I324" s="8" t="str">
        <x:v>Thank you for the encouragement. May you find the same warmth, confidence, and kindness you have offered me.</x:v>
      </x:c>
      <x:c r="J324" s="8" t="str">
        <x:v>谢谢鼓励，也愿你得到同样的暖意、底气与善意。</x:v>
      </x:c>
      <x:c r="K324" s="8" t="str">
        <x:v>poem-liu-renew</x:v>
      </x:c>
      <x:c r="L324" s="8" t="str">
        <x:v>刘禹锡《酬乐天扬州初逢席上见赠》</x:v>
      </x:c>
      <x:c r="M324" s="8" t="str">
        <x:v>今日听君歌一曲，暂凭杯酒长精神。</x:v>
      </x:c>
      <x:c r="N324" s="8" t="str">
        <x:v>原诗回应白居易对坎坷经历的关切；取朋友交谈给予精神支持，不说酒有提神疗效。</x:v>
      </x:c>
      <x:c r="O324" s="8" t="str">
        <x:v>邀饮待客、好友知己</x:v>
      </x:c>
      <x:c r="P324" s="8" t="str">
        <x:v>未限定</x:v>
      </x:c>
      <x:c r="Q324" s="8" t="str">
        <x:v>未限定</x:v>
      </x:c>
      <x:c r="R324" s="8" t="str">
        <x:v>引句后整理</x:v>
      </x:c>
      <x:c r="S324" s="8" t="str">
        <x:v>雅致</x:v>
      </x:c>
      <x:c r="T324" s="8" t="str">
        <x:v>我以茶代酒，心意一样。</x:v>
      </x:c>
      <x:c r="U324" s="8" t="str">
        <x:v>With tea in my cup and the same warm wishes.</x:v>
      </x:c>
      <x:c r="V324" s="8" t="str">
        <x:v>“今日听君歌一曲，暂凭杯酒长精神。”借刘禹锡这句接住你的好话：暖心的不只在杯里，更在你这份心意。我也敬你，愿咱们都顺心。</x:v>
      </x:c>
      <x:c r="W324" s="8" t="str">
        <x:v>“今日听君歌一曲，暂凭杯酒长精神。”刘禹锡是在回应朋友，我今天也借这句接住你的祝福。让人添精神的，往往不是酒，是有人愿意把好话认真说给你听。谢谢你，我也回敬一份祝愿：愿你忙有所获，闲有所乐，心里有底气，身边有好意。</x:v>
      </x:c>
      <x:c r="X324" s="8" t="str">
        <x:v>spoken</x:v>
      </x:c>
      <x:c r="Y324" s="8" t="str">
        <x:v>verse</x:v>
      </x:c>
      <x:c r="Z324" s="8" t="str"/>
      <x:c r="AA324" s="12" t="str"/>
    </x:row>
    <x:row r="325" ht="57" customHeight="1">
      <x:c r="A325" s="9" t="str">
        <x:v>verse-wei-kindness-reply</x:v>
      </x:c>
      <x:c r="B325" s="11" t="n">
        <x:v>1</x:v>
      </x:c>
      <x:c r="C325" s="9" t="str">
        <x:v>当前推荐</x:v>
      </x:c>
      <x:c r="D325" s="9" t="str">
        <x:v>别人敬我</x:v>
      </x:c>
      <x:c r="E325" s="9" t="str">
        <x:v>全桌</x:v>
      </x:c>
      <x:c r="F325" s="9" t="str">
        <x:v>接住心意，也回敬牵挂</x:v>
      </x:c>
      <x:c r="G325" s="9" t="str">
        <x:v>“欲持一瓢酒，远慰风雨夕。”你的祝福我收到了，这份心意很暖。我也敬你，愿有人常惦记你，也愿好消息常找到你。</x:v>
      </x:c>
      <x:c r="H325" s="9" t="str">
        <x:v>“欲持一瓢酒，远慰风雨夕。”韦应物写的是惦记朋友。今天你的这份祝福，我也认真收下，心里很暖。我回敬你一杯，愿你忙的时候有好结果，歇下来的时候有好心情；你的好意，也常有人放在心上。</x:v>
      </x:c>
      <x:c r="I325" s="9" t="str">
        <x:v>Thank you for your warm wishes. May you be remembered with the same care and find joy in ordinary days.</x:v>
      </x:c>
      <x:c r="J325" s="9" t="str">
        <x:v>谢谢暖心的祝愿，也愿你被同样认真地惦记。</x:v>
      </x:c>
      <x:c r="K325" s="9" t="str">
        <x:v>poem-wei-kindness</x:v>
      </x:c>
      <x:c r="L325" s="9" t="str">
        <x:v>韦应物《寄全椒山中道士》</x:v>
      </x:c>
      <x:c r="M325" s="9" t="str">
        <x:v>欲持一瓢酒，远慰风雨夕。</x:v>
      </x:c>
      <x:c r="N325" s="9" t="str">
        <x:v>原诗惦念山中友人，想携酒慰问；借牵挂与关心，不判断对方正遇困境或把酒当疗愈。</x:v>
      </x:c>
      <x:c r="O325" s="9" t="str">
        <x:v>邀饮待客、好友知己、夜晚小酌</x:v>
      </x:c>
      <x:c r="P325" s="9" t="str">
        <x:v>未限定</x:v>
      </x:c>
      <x:c r="Q325" s="9" t="str">
        <x:v>未限定</x:v>
      </x:c>
      <x:c r="R325" s="9" t="str">
        <x:v>引句后整理</x:v>
      </x:c>
      <x:c r="S325" s="9" t="str">
        <x:v>雅致</x:v>
      </x:c>
      <x:c r="T325" s="9" t="str">
        <x:v>我以茶代酒，心意一样。</x:v>
      </x:c>
      <x:c r="U325" s="9" t="str">
        <x:v>With tea in my cup and the same warm wishes.</x:v>
      </x:c>
      <x:c r="V325" s="9" t="str">
        <x:v>“欲持一瓢酒，远慰风雨夕。”你的祝福我收到了，这份心意很暖。我也敬你，愿有人常惦记你，也愿好消息常找到你。</x:v>
      </x:c>
      <x:c r="W325" s="9" t="str">
        <x:v>“欲持一瓢酒，远慰风雨夕。”韦应物写的是惦记朋友。今天你的这份祝福，我也认真收下，心里很暖。我回敬你一杯，愿你忙的时候有好结果，歇下来的时候有好心情；你的好意，也常有人放在心上。</x:v>
      </x:c>
      <x:c r="X325" s="9" t="str">
        <x:v>spoken</x:v>
      </x:c>
      <x:c r="Y325" s="9" t="str">
        <x:v>verse</x:v>
      </x:c>
      <x:c r="Z325" s="9" t="str"/>
      <x:c r="AA325" s="12" t="str"/>
    </x:row>
    <x:row r="326" ht="57" customHeight="1">
      <x:c r="A326" s="8" t="str">
        <x:v>verse-xu-light-reply</x:v>
      </x:c>
      <x:c r="B326" s="10" t="n">
        <x:v>1</x:v>
      </x:c>
      <x:c r="C326" s="8" t="str">
        <x:v>当前推荐</x:v>
      </x:c>
      <x:c r="D326" s="8" t="str">
        <x:v>别人敬我</x:v>
      </x:c>
      <x:c r="E326" s="8" t="str">
        <x:v>全桌</x:v>
      </x:c>
      <x:c r="F326" s="8" t="str">
        <x:v>你的好话，也添了一点光</x:v>
      </x:c>
      <x:c r="G326" s="8" t="str">
        <x:v>“在这交会时互放的光亮！”你的好话，正给这次相聚添了一点光。谢谢你，我也敬你，愿你往后的日子常有暖意。</x:v>
      </x:c>
      <x:c r="H326" s="8" t="str">
        <x:v>徐志摩写“在这交会时互放的光亮！”，今天你的这份祝福，也给这一桌添了暖意。谢谢你把好话送给我，我也认真回敬一杯：愿你的用心常被人看见，忙的事慢慢有结果，平常的日子也不缺开心。</x:v>
      </x:c>
      <x:c r="I326" s="8" t="str">
        <x:v>Thank you for adding warmth to this gathering. May your efforts be seen and your days bring good news.</x:v>
      </x:c>
      <x:c r="J326" s="8" t="str">
        <x:v>谢谢给相聚添暖，也愿你的用心被看见，日子常有好消息。</x:v>
      </x:c>
      <x:c r="K326" s="8" t="str">
        <x:v>poem-xu-light</x:v>
      </x:c>
      <x:c r="L326" s="8" t="str">
        <x:v>徐志摩《偶然》</x:v>
      </x:c>
      <x:c r="M326" s="8" t="str">
        <x:v>在这交会时互放的光亮！</x:v>
      </x:c>
      <x:c r="N326" s="8" t="str">
        <x:v>原诗写短暂相逢与各自方向，既有光亮也有离散；只借相遇的善意，不转为恋爱或长久承诺。</x:v>
      </x:c>
      <x:c r="O326" s="8" t="str">
        <x:v>夜晚小酌、好友知己</x:v>
      </x:c>
      <x:c r="P326" s="8" t="str">
        <x:v>未限定</x:v>
      </x:c>
      <x:c r="Q326" s="8" t="str">
        <x:v>未限定</x:v>
      </x:c>
      <x:c r="R326" s="8" t="str">
        <x:v>引句后整理</x:v>
      </x:c>
      <x:c r="S326" s="8" t="str">
        <x:v>雅致</x:v>
      </x:c>
      <x:c r="T326" s="8" t="str">
        <x:v>我以茶代酒，心意一样。</x:v>
      </x:c>
      <x:c r="U326" s="8" t="str">
        <x:v>With tea in my cup and the same warm wishes.</x:v>
      </x:c>
      <x:c r="V326" s="8" t="str">
        <x:v>“在这交会时互放的光亮！”你的好话，正给这次相聚添了一点光。谢谢你，我也敬你，愿你往后的日子常有暖意。</x:v>
      </x:c>
      <x:c r="W326" s="8" t="str">
        <x:v>徐志摩写“在这交会时互放的光亮！”，今天你的这份祝福，也给这一桌添了暖意。谢谢你把好话送给我，我也认真回敬一杯：愿你的用心常被人看见，忙的事慢慢有结果，平常的日子也不缺开心。</x:v>
      </x:c>
      <x:c r="X326" s="8" t="str">
        <x:v>spoken</x:v>
      </x:c>
      <x:c r="Y326" s="8" t="str">
        <x:v>verse</x:v>
      </x:c>
      <x:c r="Z326" s="8" t="str"/>
      <x:c r="AA326" s="12" t="str"/>
    </x:row>
    <x:row r="327" ht="57" customHeight="1">
      <x:c r="A327" s="9" t="str">
        <x:v>r04-ci-09-1</x:v>
      </x:c>
      <x:c r="B327" s="11" t="n">
        <x:v>1</x:v>
      </x:c>
      <x:c r="C327" s="9" t="str">
        <x:v>当前推荐</x:v>
      </x:c>
      <x:c r="D327" s="9" t="str">
        <x:v>致谢答谢</x:v>
      </x:c>
      <x:c r="E327" s="9" t="str">
        <x:v>主人</x:v>
      </x:c>
      <x:c r="F327" s="9" t="str">
        <x:v>一杯茶也有厚意</x:v>
      </x:c>
      <x:c r="G327" s="9" t="str">
        <x:v>苏轼写过：“日高人渴漫思茶，敲门试问野人家。”苏轼口渴时，想的也是敲门求杯茶。今天这杯谢主人，谢你让大家有地方坐，有热饭吃，有闲话聊。</x:v>
      </x:c>
      <x:c r="H327" s="9" t="str">
        <x:v>苏轼写过：“日高人渴漫思茶，敲门试问野人家。”苏轼口渴时，想的也是敲门求杯茶。今天这杯谢主人，谢你让大家有地方坐，有热饭吃，有闲话聊。
这杯敬主人，谢款待，也盼以后有机会回请。</x:v>
      </x:c>
      <x:c r="I327" s="9" t="str">
        <x:v>To a cup offered with care and a welcome that feels sincere.</x:v>
      </x:c>
      <x:c r="J327" s="9" t="str">
        <x:v>敬一杯体贴，也谢真诚款待。</x:v>
      </x:c>
      <x:c r="K327" s="9" t="str">
        <x:v>r04-ci-09</x:v>
      </x:c>
      <x:c r="L327" s="9" t="str">
        <x:v>苏轼《浣溪沙·簌簌衣巾落枣花》</x:v>
      </x:c>
      <x:c r="M327" s="9" t="str">
        <x:v>日高人渴漫思茶，敲门试问野人家。</x:v>
      </x:c>
      <x:c r="N327" s="9" t="str">
        <x:v>乡间行路渴而求茶；不编造主人曾收留用户，茶与酒均可。</x:v>
      </x:c>
      <x:c r="O327" s="9" t="str">
        <x:v>邀饮待客</x:v>
      </x:c>
      <x:c r="P327" s="9" t="str">
        <x:v>未限定</x:v>
      </x:c>
      <x:c r="Q327" s="9" t="str">
        <x:v>未限定</x:v>
      </x:c>
      <x:c r="R327" s="9" t="str">
        <x:v>引句后整理</x:v>
      </x:c>
      <x:c r="S327" s="9" t="str">
        <x:v>雅致</x:v>
      </x:c>
      <x:c r="T327" s="9" t="str">
        <x:v>我以茶代酒，心意一样真。</x:v>
      </x:c>
      <x:c r="U327" s="9" t="str">
        <x:v>With tea in my cup and the same warm wishes.</x:v>
      </x:c>
      <x:c r="V327" s="9" t="str">
        <x:v>苏轼写过：“日高人渴漫思茶，敲门试问野人家。”苏轼口渴时，想的也是敲门求杯茶。今天这杯谢主人，谢你让大家有地方坐，有热饭吃，有闲话聊。</x:v>
      </x:c>
      <x:c r="W327" s="9" t="str">
        <x:v>苏轼写过：“日高人渴漫思茶，敲门试问野人家。”苏轼口渴时，想的也是敲门求杯茶。今天这杯谢主人，谢你让大家有地方坐，有热饭吃，有闲话聊。
这杯敬主人，谢款待，也盼以后有机会回请。</x:v>
      </x:c>
      <x:c r="X327" s="9" t="str">
        <x:v>spoken</x:v>
      </x:c>
      <x:c r="Y327" s="9" t="str">
        <x:v>verse-0</x:v>
      </x:c>
      <x:c r="Z327" s="9" t="str"/>
      <x:c r="AA327" s="12" t="str"/>
    </x:row>
    <x:row r="328" ht="72" customHeight="1">
      <x:c r="A328" s="8" t="str">
        <x:v>r04-shi-1074-2</x:v>
      </x:c>
      <x:c r="B328" s="10" t="n">
        <x:v>1</x:v>
      </x:c>
      <x:c r="C328" s="8" t="str">
        <x:v>当前推荐</x:v>
      </x:c>
      <x:c r="D328" s="8" t="str">
        <x:v>致谢答谢</x:v>
      </x:c>
      <x:c r="E328" s="8" t="str">
        <x:v>主人</x:v>
      </x:c>
      <x:c r="F328" s="8" t="str">
        <x:v>家常饭有厚意 · 再说一句</x:v>
      </x:c>
      <x:c r="G328" s="8" t="str">
        <x:v>今天谢主人，不只谢饭菜的香，也谢你愿意花时间把大家聚起来。往后来我这儿，也请你安心坐着吃。借诗词中的一句：“幡幡瓠叶，采之亨之。”</x:v>
      </x:c>
      <x:c r="H328" s="8" t="str">
        <x:v>今天谢主人，不只谢饭菜的香，也谢你愿意花时间把大家聚起来。往后来我这儿，也请你安心坐着吃。
《诗经》里有一句：“幡幡瓠叶，采之亨之。”这杯敬主人，谢款待，也盼以后有机会回请。</x:v>
      </x:c>
      <x:c r="I328" s="8" t="str">
        <x:v>To simple meals made special by the thought behind them. Here is to another good day together.</x:v>
      </x:c>
      <x:c r="J328" s="8" t="str">
        <x:v>敬家常饭背后的那份用心。也盼再有同聚的好日子。</x:v>
      </x:c>
      <x:c r="K328" s="8" t="str">
        <x:v>r04-shi-1074</x:v>
      </x:c>
      <x:c r="L328" s="8" t="str">
        <x:v>《诗经·瓠叶》</x:v>
      </x:c>
      <x:c r="M328" s="8" t="str">
        <x:v>幡幡瓠叶，采之亨之。</x:v>
      </x:c>
      <x:c r="N328" s="8" t="str">
        <x:v>宴饮诗，有俭薄不废礼与燕饮等解；亨通烹，借家常待客的诚意。</x:v>
      </x:c>
      <x:c r="O328" s="8" t="str">
        <x:v>邀饮待客</x:v>
      </x:c>
      <x:c r="P328" s="8" t="str">
        <x:v>未限定</x:v>
      </x:c>
      <x:c r="Q328" s="8" t="str">
        <x:v>未限定</x:v>
      </x:c>
      <x:c r="R328" s="8" t="str">
        <x:v>引句后整理</x:v>
      </x:c>
      <x:c r="S328" s="8" t="str">
        <x:v>雅致</x:v>
      </x:c>
      <x:c r="T328" s="8" t="str">
        <x:v>我以茶代酒，心意一样真。</x:v>
      </x:c>
      <x:c r="U328" s="8" t="str">
        <x:v>With tea in my cup and the same warm wishes.</x:v>
      </x:c>
      <x:c r="V328" s="8" t="str">
        <x:v>今天谢主人，不只谢饭菜的香，也谢你愿意花时间把大家聚起来。往后来我这儿，也请你安心坐着吃。借诗词中的一句：“幡幡瓠叶，采之亨之。”</x:v>
      </x:c>
      <x:c r="W328" s="8" t="str">
        <x:v>今天谢主人，不只谢饭菜的香，也谢你愿意花时间把大家聚起来。往后来我这儿，也请你安心坐着吃。
《诗经》里有一句：“幡幡瓠叶，采之亨之。”这杯敬主人，谢款待，也盼以后有机会回请。</x:v>
      </x:c>
      <x:c r="X328" s="8" t="str">
        <x:v>spoken</x:v>
      </x:c>
      <x:c r="Y328" s="8" t="str">
        <x:v>verse-0</x:v>
      </x:c>
      <x:c r="Z328" s="8" t="str"/>
      <x:c r="AA328" s="12" t="str"/>
    </x:row>
    <x:row r="329" ht="72" customHeight="1">
      <x:c r="A329" s="9" t="str">
        <x:v>r04-shi-469-2</x:v>
      </x:c>
      <x:c r="B329" s="11" t="n">
        <x:v>1</x:v>
      </x:c>
      <x:c r="C329" s="9" t="str">
        <x:v>当前推荐</x:v>
      </x:c>
      <x:c r="D329" s="9" t="str">
        <x:v>致谢答谢</x:v>
      </x:c>
      <x:c r="E329" s="9" t="str">
        <x:v>主人</x:v>
      </x:c>
      <x:c r="F329" s="9" t="str">
        <x:v>待客的一份心 · 再说一句</x:v>
      </x:c>
      <x:c r="G329" s="9" t="str">
        <x:v>比起菜有多贵，我更记得主人惦记着大家吃好。这杯谢你的张罗，愿以后有机会，也让你安心做一回客。借诗词中的一句：“中心好之，曷饮食之。”</x:v>
      </x:c>
      <x:c r="H329" s="9" t="str">
        <x:v>比起菜有多贵，我更记得主人惦记着大家吃好。这杯谢你的张罗，愿以后有机会，也让你安心做一回客。
《诗经·有杕之杜》写道：“中心好之，曷饮食之。”这杯敬主人，谢款待，也盼以后有机会回请。</x:v>
      </x:c>
      <x:c r="I329" s="9" t="str">
        <x:v>To a thoughtful welcome, however simple the meal may be. Here is to another good day together.</x:v>
      </x:c>
      <x:c r="J329" s="9" t="str">
        <x:v>敬一份用心的欢迎，饭菜家常也温暖。也盼再有同聚的好日子。</x:v>
      </x:c>
      <x:c r="K329" s="9" t="str">
        <x:v>r04-shi-469</x:v>
      </x:c>
      <x:c r="L329" s="9" t="str">
        <x:v>《诗经·有杕之杜》</x:v>
      </x:c>
      <x:c r="M329" s="9" t="str">
        <x:v>中心好之，曷饮食之。</x:v>
      </x:c>
      <x:c r="N329" s="9" t="str">
        <x:v>求贤、求食、求爱诸说并存；借款待心意，不把一种解释说成定论。</x:v>
      </x:c>
      <x:c r="O329" s="9" t="str">
        <x:v>邀饮待客</x:v>
      </x:c>
      <x:c r="P329" s="9" t="str">
        <x:v>未限定</x:v>
      </x:c>
      <x:c r="Q329" s="9" t="str">
        <x:v>未限定</x:v>
      </x:c>
      <x:c r="R329" s="9" t="str">
        <x:v>引句后整理</x:v>
      </x:c>
      <x:c r="S329" s="9" t="str">
        <x:v>雅致</x:v>
      </x:c>
      <x:c r="T329" s="9" t="str">
        <x:v>我以茶代酒，心意一样真。</x:v>
      </x:c>
      <x:c r="U329" s="9" t="str">
        <x:v>With tea in my cup and the same warm wishes.</x:v>
      </x:c>
      <x:c r="V329" s="9" t="str">
        <x:v>比起菜有多贵，我更记得主人惦记着大家吃好。这杯谢你的张罗，愿以后有机会，也让你安心做一回客。借诗词中的一句：“中心好之，曷饮食之。”</x:v>
      </x:c>
      <x:c r="W329" s="9" t="str">
        <x:v>比起菜有多贵，我更记得主人惦记着大家吃好。这杯谢你的张罗，愿以后有机会，也让你安心做一回客。
《诗经·有杕之杜》写道：“中心好之，曷饮食之。”这杯敬主人，谢款待，也盼以后有机会回请。</x:v>
      </x:c>
      <x:c r="X329" s="9" t="str">
        <x:v>spoken</x:v>
      </x:c>
      <x:c r="Y329" s="9" t="str">
        <x:v>verse-3</x:v>
      </x:c>
      <x:c r="Z329" s="9" t="str"/>
      <x:c r="AA329" s="12" t="str"/>
    </x:row>
    <x:row r="330" ht="72" customHeight="1">
      <x:c r="A330" s="8" t="str">
        <x:v>r04-shi-683-2</x:v>
      </x:c>
      <x:c r="B330" s="10" t="n">
        <x:v>1</x:v>
      </x:c>
      <x:c r="C330" s="8" t="str">
        <x:v>当前推荐</x:v>
      </x:c>
      <x:c r="D330" s="8" t="str">
        <x:v>致谢答谢</x:v>
      </x:c>
      <x:c r="E330" s="8" t="str">
        <x:v>主人</x:v>
      </x:c>
      <x:c r="F330" s="8" t="str">
        <x:v>好饭不必客气 · 再说一句</x:v>
      </x:c>
      <x:c r="G330" s="8" t="str">
        <x:v>古人把好吃的写进诗里，今天咱们把谢意送给主人。谢谢这一桌饭，也谢谢让大家自在的这份用心。借诗词中的一句：“物其多矣，惟其嘉矣！”</x:v>
      </x:c>
      <x:c r="H330" s="8" t="str">
        <x:v>古人把好吃的写进诗里，今天咱们把谢意送给主人。谢谢这一桌饭，也谢谢让大家自在的这份用心。
《诗经》里有一句：“物其多矣，惟其嘉矣！”这杯敬主人，谢款待，也盼以后有机会回请。</x:v>
      </x:c>
      <x:c r="I330" s="8" t="str">
        <x:v>To good food, easy conversation, and the people who prepared this table. Here is to another good day together.</x:v>
      </x:c>
      <x:c r="J330" s="8" t="str">
        <x:v>敬好饭、好话，也谢为这一桌张罗的人。也盼再有同聚的好日子。</x:v>
      </x:c>
      <x:c r="K330" s="8" t="str">
        <x:v>r04-shi-683</x:v>
      </x:c>
      <x:c r="L330" s="8" t="str">
        <x:v>《诗经·鱼丽》</x:v>
      </x:c>
      <x:c r="M330" s="8" t="str">
        <x:v>物其多矣，惟其嘉矣！</x:v>
      </x:c>
      <x:c r="N330" s="8" t="str">
        <x:v>贵族宴飨之歌；借食物丰足、相聚愉快，不赞奢侈排场。</x:v>
      </x:c>
      <x:c r="O330" s="8" t="str">
        <x:v>邀饮待客</x:v>
      </x:c>
      <x:c r="P330" s="8" t="str">
        <x:v>未限定</x:v>
      </x:c>
      <x:c r="Q330" s="8" t="str">
        <x:v>未限定</x:v>
      </x:c>
      <x:c r="R330" s="8" t="str">
        <x:v>引句后整理</x:v>
      </x:c>
      <x:c r="S330" s="8" t="str">
        <x:v>雅致</x:v>
      </x:c>
      <x:c r="T330" s="8" t="str">
        <x:v>我以茶代酒，心意一样真。</x:v>
      </x:c>
      <x:c r="U330" s="8" t="str">
        <x:v>With tea in my cup and the same warm wishes.</x:v>
      </x:c>
      <x:c r="V330" s="8" t="str">
        <x:v>古人把好吃的写进诗里，今天咱们把谢意送给主人。谢谢这一桌饭，也谢谢让大家自在的这份用心。借诗词中的一句：“物其多矣，惟其嘉矣！”</x:v>
      </x:c>
      <x:c r="W330" s="8" t="str">
        <x:v>古人把好吃的写进诗里，今天咱们把谢意送给主人。谢谢这一桌饭，也谢谢让大家自在的这份用心。
《诗经》里有一句：“物其多矣，惟其嘉矣！”这杯敬主人，谢款待，也盼以后有机会回请。</x:v>
      </x:c>
      <x:c r="X330" s="8" t="str">
        <x:v>spoken</x:v>
      </x:c>
      <x:c r="Y330" s="8" t="str">
        <x:v>verse-0</x:v>
      </x:c>
      <x:c r="Z330" s="8" t="str"/>
      <x:c r="AA330" s="12" t="str"/>
    </x:row>
    <x:row r="331" ht="72" customHeight="1">
      <x:c r="A331" s="9" t="str">
        <x:v>r04-story-05-2</x:v>
      </x:c>
      <x:c r="B331" s="11" t="n">
        <x:v>1</x:v>
      </x:c>
      <x:c r="C331" s="9" t="str">
        <x:v>当前推荐</x:v>
      </x:c>
      <x:c r="D331" s="9" t="str">
        <x:v>致谢答谢</x:v>
      </x:c>
      <x:c r="E331" s="9" t="str">
        <x:v>主人</x:v>
      </x:c>
      <x:c r="F331" s="9" t="str">
        <x:v>张罗的人也坐一坐 · 再说一句</x:v>
      </x:c>
      <x:c r="G331" s="9" t="str">
        <x:v>这杯先谢主人，也谢今天为这一桌忙前忙后的人。饭菜有香，背后有人花心思，辛苦咱们都记得。借这则旧事的一句：“岂有终日执之，而不知其味者乎？”</x:v>
      </x:c>
      <x:c r="H331" s="9" t="str">
        <x:v>这杯先谢主人，也谢今天为这一桌忙前忙后的人。饭菜有香，背后有人花心思，辛苦咱们都记得。
《世说新语》里记载：“岂有终日执之，而不知其味者乎？”这杯敬主人，谢款待，也盼以后有机会回请。</x:v>
      </x:c>
      <x:c r="I331" s="9" t="str">
        <x:v>To everyone whose work and thoughtfulness made this gathering possible. Here is to another good day together.</x:v>
      </x:c>
      <x:c r="J331" s="9" t="str">
        <x:v>敬为这场相聚付出辛劳和心思的每个人。也盼再有同聚的好日子。</x:v>
      </x:c>
      <x:c r="K331" s="9" t="str">
        <x:v>r04-story-05</x:v>
      </x:c>
      <x:c r="L331" s="9" t="str">
        <x:v>《世说新语·德行第二十五则》顾荣分炙</x:v>
      </x:c>
      <x:c r="M331" s="9" t="str">
        <x:v>岂有终日执之，而不知其味者乎？</x:v>
      </x:c>
      <x:c r="N331" s="9" t="str">
        <x:v>原条目与所引传记对获救时间情节不同；借顾及辛劳者的体贴，不推导行善必获回报。</x:v>
      </x:c>
      <x:c r="O331" s="9" t="str">
        <x:v>邀饮待客</x:v>
      </x:c>
      <x:c r="P331" s="9" t="str">
        <x:v>未限定</x:v>
      </x:c>
      <x:c r="Q331" s="9" t="str">
        <x:v>未限定</x:v>
      </x:c>
      <x:c r="R331" s="9" t="str">
        <x:v>引句后整理</x:v>
      </x:c>
      <x:c r="S331" s="9" t="str">
        <x:v>雅致</x:v>
      </x:c>
      <x:c r="T331" s="9" t="str">
        <x:v>我以茶代酒，心意一样真。</x:v>
      </x:c>
      <x:c r="U331" s="9" t="str">
        <x:v>With tea in my cup and the same warm wishes.</x:v>
      </x:c>
      <x:c r="V331" s="9" t="str">
        <x:v>这杯先谢主人，也谢今天为这一桌忙前忙后的人。饭菜有香，背后有人花心思，辛苦咱们都记得。借这则旧事的一句：“岂有终日执之，而不知其味者乎？”</x:v>
      </x:c>
      <x:c r="W331" s="9" t="str">
        <x:v>这杯先谢主人，也谢今天为这一桌忙前忙后的人。饭菜有香，背后有人花心思，辛苦咱们都记得。
《世说新语》里记载：“岂有终日执之，而不知其味者乎？”这杯敬主人，谢款待，也盼以后有机会回请。</x:v>
      </x:c>
      <x:c r="X331" s="9" t="str">
        <x:v>spoken</x:v>
      </x:c>
      <x:c r="Y331" s="9" t="str">
        <x:v>story-0</x:v>
      </x:c>
      <x:c r="Z331" s="9" t="str"/>
      <x:c r="AA331" s="12" t="str"/>
    </x:row>
    <x:row r="332" ht="72" customHeight="1">
      <x:c r="A332" s="8" t="str">
        <x:v>r04-story-13-2</x:v>
      </x:c>
      <x:c r="B332" s="10" t="n">
        <x:v>1</x:v>
      </x:c>
      <x:c r="C332" s="8" t="str">
        <x:v>当前推荐</x:v>
      </x:c>
      <x:c r="D332" s="8" t="str">
        <x:v>致谢答谢</x:v>
      </x:c>
      <x:c r="E332" s="8" t="str">
        <x:v>主人</x:v>
      </x:c>
      <x:c r="F332" s="8" t="str">
        <x:v>待客贵在真率 · 再说一句</x:v>
      </x:c>
      <x:c r="G332" s="8" t="str">
        <x:v>这杯谢主人。好招待不只在菜多，也在让客人不用拘着。今天这份自在，我记下了，往后也想好好回应。借这则旧事的一句：“随客早晚，不问贵贱。”</x:v>
      </x:c>
      <x:c r="H332" s="8" t="str">
        <x:v>这杯谢主人。好招待不只在菜多，也在让客人不用拘着。今天这份自在，我记下了，往后也想好好回应。
《世说新语》里记载：“随客早晚，不问贵贱。”这杯敬主人，谢款待，也盼以后有机会回请。</x:v>
      </x:c>
      <x:c r="I332" s="8" t="str">
        <x:v>To a welcome that lets everyone relax and feel at home. Here is to another good day together.</x:v>
      </x:c>
      <x:c r="J332" s="8" t="str">
        <x:v>愿一份真率的欢迎，让人自在如归。也盼再有同聚的好日子。</x:v>
      </x:c>
      <x:c r="K332" s="8" t="str">
        <x:v>r04-story-13</x:v>
      </x:c>
      <x:c r="L332" s="8" t="str">
        <x:v>《世说新语·雅量第二十则》羊曼待客真率</x:v>
      </x:c>
      <x:c r="M332" s="8" t="str">
        <x:v>随客早晚，不问贵贱。</x:v>
      </x:c>
      <x:c r="N332" s="8" t="str">
        <x:v>古人评论待客真率，不意味早晚客应区别对待；不照搬官场贵贱。</x:v>
      </x:c>
      <x:c r="O332" s="8" t="str">
        <x:v>邀饮待客</x:v>
      </x:c>
      <x:c r="P332" s="8" t="str">
        <x:v>未限定</x:v>
      </x:c>
      <x:c r="Q332" s="8" t="str">
        <x:v>未限定</x:v>
      </x:c>
      <x:c r="R332" s="8" t="str">
        <x:v>引句后整理</x:v>
      </x:c>
      <x:c r="S332" s="8" t="str">
        <x:v>雅致</x:v>
      </x:c>
      <x:c r="T332" s="8" t="str">
        <x:v>我以茶代酒，心意一样真。</x:v>
      </x:c>
      <x:c r="U332" s="8" t="str">
        <x:v>With tea in my cup and the same warm wishes.</x:v>
      </x:c>
      <x:c r="V332" s="8" t="str">
        <x:v>这杯谢主人。好招待不只在菜多，也在让客人不用拘着。今天这份自在，我记下了，往后也想好好回应。借这则旧事的一句：“随客早晚，不问贵贱。”</x:v>
      </x:c>
      <x:c r="W332" s="8" t="str">
        <x:v>这杯谢主人。好招待不只在菜多，也在让客人不用拘着。今天这份自在，我记下了，往后也想好好回应。
《世说新语》里记载：“随客早晚，不问贵贱。”这杯敬主人，谢款待，也盼以后有机会回请。</x:v>
      </x:c>
      <x:c r="X332" s="8" t="str">
        <x:v>spoken</x:v>
      </x:c>
      <x:c r="Y332" s="8" t="str">
        <x:v>story-0</x:v>
      </x:c>
      <x:c r="Z332" s="8" t="str"/>
      <x:c r="AA332" s="12" t="str"/>
    </x:row>
    <x:row r="333" ht="72" customHeight="1">
      <x:c r="A333" s="9" t="str">
        <x:v>r04-story-23-2</x:v>
      </x:c>
      <x:c r="B333" s="11" t="n">
        <x:v>1</x:v>
      </x:c>
      <x:c r="C333" s="9" t="str">
        <x:v>当前推荐</x:v>
      </x:c>
      <x:c r="D333" s="9" t="str">
        <x:v>致谢答谢</x:v>
      </x:c>
      <x:c r="E333" s="9" t="str">
        <x:v>主人</x:v>
      </x:c>
      <x:c r="F333" s="9" t="str">
        <x:v>喜欢景更记得人 · 再说一句</x:v>
      </x:c>
      <x:c r="G333" s="9" t="str">
        <x:v>好饭好景之外，更该谢用心待客的人。今天这杯敬主人，感谢你把大家聚到一处，也愿你常有安心做客的时候。借这则旧事的一句：“乃留坐，尽欢而去。”</x:v>
      </x:c>
      <x:c r="H333" s="9" t="str">
        <x:v>好饭好景之外，更该谢用心待客的人。今天这杯敬主人，感谢你把大家聚到一处，也愿你常有安心做客的时候。
《世说新语》里记载：“乃留坐，尽欢而去。”这杯敬主人，谢款待，也盼以后有机会回请。</x:v>
      </x:c>
      <x:c r="I333" s="9" t="str">
        <x:v>To the hosts behind the meal and the people behind the scenery. Here is to another good day together.</x:v>
      </x:c>
      <x:c r="J333" s="9" t="str">
        <x:v>谢饭菜背后的主人，也珍惜好景里的相聚。也盼再有同聚的好日子。</x:v>
      </x:c>
      <x:c r="K333" s="9" t="str">
        <x:v>r04-story-23</x:v>
      </x:c>
      <x:c r="L333" s="9" t="str">
        <x:v>《世说新语·简傲第十六则》王子猷过门看竹</x:v>
      </x:c>
      <x:c r="M333" s="9" t="str">
        <x:v>乃留坐，尽欢而去。</x:v>
      </x:c>
      <x:c r="N333" s="9" t="str">
        <x:v>先看竹未理主人造成尴尬，后留坐；不模仿强留客或登门失礼。</x:v>
      </x:c>
      <x:c r="O333" s="9" t="str">
        <x:v>邀饮待客</x:v>
      </x:c>
      <x:c r="P333" s="9" t="str">
        <x:v>未限定</x:v>
      </x:c>
      <x:c r="Q333" s="9" t="str">
        <x:v>未限定</x:v>
      </x:c>
      <x:c r="R333" s="9" t="str">
        <x:v>引句后整理</x:v>
      </x:c>
      <x:c r="S333" s="9" t="str">
        <x:v>雅致</x:v>
      </x:c>
      <x:c r="T333" s="9" t="str">
        <x:v>我以茶代酒，心意一样真。</x:v>
      </x:c>
      <x:c r="U333" s="9" t="str">
        <x:v>With tea in my cup and the same warm wishes.</x:v>
      </x:c>
      <x:c r="V333" s="9" t="str">
        <x:v>好饭好景之外，更该谢用心待客的人。今天这杯敬主人，感谢你把大家聚到一处，也愿你常有安心做客的时候。借这则旧事的一句：“乃留坐，尽欢而去。”</x:v>
      </x:c>
      <x:c r="W333" s="9" t="str">
        <x:v>好饭好景之外，更该谢用心待客的人。今天这杯敬主人，感谢你把大家聚到一处，也愿你常有安心做客的时候。
《世说新语》里记载：“乃留坐，尽欢而去。”这杯敬主人，谢款待，也盼以后有机会回请。</x:v>
      </x:c>
      <x:c r="X333" s="9" t="str">
        <x:v>spoken</x:v>
      </x:c>
      <x:c r="Y333" s="9" t="str">
        <x:v>story-2</x:v>
      </x:c>
      <x:c r="Z333" s="9" t="str"/>
      <x:c r="AA333" s="12" t="str"/>
    </x:row>
    <x:row r="334" ht="42" customHeight="1">
      <x:c r="A334" s="8" t="str">
        <x:v>spoken-guest-01</x:v>
      </x:c>
      <x:c r="B334" s="10" t="n">
        <x:v>1</x:v>
      </x:c>
      <x:c r="C334" s="8" t="str">
        <x:v>当前推荐</x:v>
      </x:c>
      <x:c r="D334" s="8" t="str">
        <x:v>致谢答谢</x:v>
      </x:c>
      <x:c r="E334" s="8" t="str">
        <x:v>主人</x:v>
      </x:c>
      <x:c r="F334" s="8" t="str">
        <x:v>张罗这一桌，费心了</x:v>
      </x:c>
      <x:c r="G334" s="8" t="str">
        <x:v>张罗这一桌，费心了。我敬你一杯，谢谢你的款待，也谢谢把大家聚到一起。</x:v>
      </x:c>
      <x:c r="H334" s="8" t="str">
        <x:v>一桌饭从张罗到坐下，处处都得用心。今天我作为来宾，先敬主人一杯。谢谢这份款待，也祝你忙完能好好坐下来吃，今天咱们都聊得开心。</x:v>
      </x:c>
      <x:c r="I334" s="8" t="str">
        <x:v>Thank you for hosting and bringing us together. Please enjoy the meal too.</x:v>
      </x:c>
      <x:c r="J334" s="8" t="str">
        <x:v>谢谢款待，也谢谢让大家相聚，你也要一起好好享受今天。</x:v>
      </x:c>
      <x:c r="K334" s="8" t="str">
        <x:v>thanks</x:v>
      </x:c>
      <x:c r="L334" s="8" t="str">
        <x:v>感谢要有落点</x:v>
      </x:c>
      <x:c r="M334" s="8" t="str"/>
      <x:c r="N334" s="8" t="str">
        <x:v>来宾感谢主人；把张罗的用心说到，不抢主人安排饭局的角色。</x:v>
      </x:c>
      <x:c r="O334" s="8" t="str">
        <x:v>未限定</x:v>
      </x:c>
      <x:c r="P334" s="8" t="str">
        <x:v>未限定</x:v>
      </x:c>
      <x:c r="Q334" s="8" t="str">
        <x:v>未限定</x:v>
      </x:c>
      <x:c r="R334" s="8" t="str">
        <x:v>依据表达方法整理</x:v>
      </x:c>
      <x:c r="S334" s="8" t="str">
        <x:v>雅致</x:v>
      </x:c>
      <x:c r="T334" s="8" t="str">
        <x:v>今天我以茶代酒，认真说声谢谢。</x:v>
      </x:c>
      <x:c r="U334" s="8" t="str">
        <x:v>I’m raising a cup of tea, with the same warm wishes.</x:v>
      </x:c>
      <x:c r="V334" s="8" t="str">
        <x:v>张罗这一桌，费心了。我敬你一杯，谢谢你的款待，也谢谢把大家聚到一起。</x:v>
      </x:c>
      <x:c r="W334" s="8" t="str">
        <x:v>一桌饭从张罗到坐下，处处都得用心。今天我作为来宾，先敬主人一杯。谢谢这份款待，也祝你忙完能好好坐下来吃，今天咱们都聊得开心。</x:v>
      </x:c>
      <x:c r="X334" s="8" t="str">
        <x:v>spoken</x:v>
      </x:c>
      <x:c r="Y334" s="8" t="str">
        <x:v>plain</x:v>
      </x:c>
      <x:c r="Z334" s="8" t="str"/>
      <x:c r="AA334" s="12" t="str"/>
    </x:row>
    <x:row r="335" ht="42" customHeight="1">
      <x:c r="A335" s="9" t="str">
        <x:v>spoken-guest-02</x:v>
      </x:c>
      <x:c r="B335" s="11" t="n">
        <x:v>1</x:v>
      </x:c>
      <x:c r="C335" s="9" t="str">
        <x:v>当前推荐</x:v>
      </x:c>
      <x:c r="D335" s="9" t="str">
        <x:v>致谢答谢</x:v>
      </x:c>
      <x:c r="E335" s="9" t="str">
        <x:v>主人</x:v>
      </x:c>
      <x:c r="F335" s="9" t="str">
        <x:v>吃在嘴里，记在心里</x:v>
      </x:c>
      <x:c r="G335" s="9" t="str">
        <x:v>今天这顿饭，吃在嘴里，也记在心里。这杯谢谢主人，愿以后常有机会聚。</x:v>
      </x:c>
      <x:c r="H335" s="9" t="str">
        <x:v>今天这顿饭，我最想谢的不只是菜，也是让大家能坐到一桌的这份用心。这杯敬主人，祝你事事顺心。往后有机会，咱们还像今天这样好好聚。</x:v>
      </x:c>
      <x:c r="I335" s="9" t="str">
        <x:v>Thank you for the meal and, above all, for making this gathering happen.</x:v>
      </x:c>
      <x:c r="J335" s="9" t="str">
        <x:v>谢谢这顿饭，更谢谢你让这次相聚成行。</x:v>
      </x:c>
      <x:c r="K335" s="9" t="str">
        <x:v>thanks</x:v>
      </x:c>
      <x:c r="L335" s="9" t="str">
        <x:v>感谢要有落点</x:v>
      </x:c>
      <x:c r="M335" s="9" t="str"/>
      <x:c r="N335" s="9" t="str">
        <x:v>来宾感谢主人；把张罗的用心说到，不抢主人安排饭局的角色。</x:v>
      </x:c>
      <x:c r="O335" s="9" t="str">
        <x:v>未限定</x:v>
      </x:c>
      <x:c r="P335" s="9" t="str">
        <x:v>未限定</x:v>
      </x:c>
      <x:c r="Q335" s="9" t="str">
        <x:v>未限定</x:v>
      </x:c>
      <x:c r="R335" s="9" t="str">
        <x:v>依据表达方法整理</x:v>
      </x:c>
      <x:c r="S335" s="9" t="str">
        <x:v>雅致</x:v>
      </x:c>
      <x:c r="T335" s="9" t="str">
        <x:v>我用茶敬这份好意，心里记着。</x:v>
      </x:c>
      <x:c r="U335" s="9" t="str">
        <x:v>I’m raising a cup of tea, with the same warm wishes.</x:v>
      </x:c>
      <x:c r="V335" s="9" t="str">
        <x:v>今天这顿饭，吃在嘴里，也记在心里。这杯谢谢主人，愿以后常有机会聚。</x:v>
      </x:c>
      <x:c r="W335" s="9" t="str">
        <x:v>今天这顿饭，我最想谢的不只是菜，也是让大家能坐到一桌的这份用心。这杯敬主人，祝你事事顺心。往后有机会，咱们还像今天这样好好聚。</x:v>
      </x:c>
      <x:c r="X335" s="9" t="str">
        <x:v>spoken</x:v>
      </x:c>
      <x:c r="Y335" s="9" t="str">
        <x:v>plain</x:v>
      </x:c>
      <x:c r="Z335" s="9" t="str"/>
      <x:c r="AA335" s="12" t="str"/>
    </x:row>
    <x:row r="336" ht="42" customHeight="1">
      <x:c r="A336" s="8" t="str">
        <x:v>spoken-guest-03</x:v>
      </x:c>
      <x:c r="B336" s="10" t="n">
        <x:v>1</x:v>
      </x:c>
      <x:c r="C336" s="8" t="str">
        <x:v>当前推荐</x:v>
      </x:c>
      <x:c r="D336" s="8" t="str">
        <x:v>致谢答谢</x:v>
      </x:c>
      <x:c r="E336" s="8" t="str">
        <x:v>主人</x:v>
      </x:c>
      <x:c r="F336" s="8" t="str">
        <x:v>你也坐下来，慢慢吃</x:v>
      </x:c>
      <x:c r="G336" s="8" t="str">
        <x:v>今天辛苦张罗了，你也坐下来慢慢吃。这杯敬主人，谢谢让我们在这一桌相聚。</x:v>
      </x:c>
      <x:c r="H336" s="8" t="str">
        <x:v>主人最容易忙着照顾大家，自己反而顾不上吃。今天这杯先谢谢你的用心，也请你放松一点，跟我们一起慢慢聊。这份款待我记着，祝你生活顺心、常有欢喜。</x:v>
      </x:c>
      <x:c r="I336" s="8" t="str">
        <x:v>Thank you for taking care of everyone. Sit down with us and enjoy the meal too.</x:v>
      </x:c>
      <x:c r="J336" s="8" t="str">
        <x:v>谢谢你照顾大家，也请坐下来，一起好好吃饭。</x:v>
      </x:c>
      <x:c r="K336" s="8" t="str">
        <x:v>thanks</x:v>
      </x:c>
      <x:c r="L336" s="8" t="str">
        <x:v>感谢要有落点</x:v>
      </x:c>
      <x:c r="M336" s="8" t="str"/>
      <x:c r="N336" s="8" t="str">
        <x:v>来宾感谢主人；把张罗的用心说到，不抢主人安排饭局的角色。</x:v>
      </x:c>
      <x:c r="O336" s="8" t="str">
        <x:v>未限定</x:v>
      </x:c>
      <x:c r="P336" s="8" t="str">
        <x:v>未限定</x:v>
      </x:c>
      <x:c r="Q336" s="8" t="str">
        <x:v>未限定</x:v>
      </x:c>
      <x:c r="R336" s="8" t="str">
        <x:v>依据表达方法整理</x:v>
      </x:c>
      <x:c r="S336" s="8" t="str">
        <x:v>雅致</x:v>
      </x:c>
      <x:c r="T336" s="8" t="str">
        <x:v>杯里是茶，这份感谢一样。</x:v>
      </x:c>
      <x:c r="U336" s="8" t="str">
        <x:v>I’m raising a cup of tea, with the same warm wishes.</x:v>
      </x:c>
      <x:c r="V336" s="8" t="str">
        <x:v>今天辛苦张罗了，你也坐下来慢慢吃。这杯敬主人，谢谢让我们在这一桌相聚。</x:v>
      </x:c>
      <x:c r="W336" s="8" t="str">
        <x:v>主人最容易忙着照顾大家，自己反而顾不上吃。今天这杯先谢谢你的用心，也请你放松一点，跟我们一起慢慢聊。这份款待我记着，祝你生活顺心、常有欢喜。</x:v>
      </x:c>
      <x:c r="X336" s="8" t="str">
        <x:v>spoken</x:v>
      </x:c>
      <x:c r="Y336" s="8" t="str">
        <x:v>plain</x:v>
      </x:c>
      <x:c r="Z336" s="8" t="str"/>
      <x:c r="AA336" s="12" t="str"/>
    </x:row>
    <x:row r="337" ht="42" customHeight="1">
      <x:c r="A337" s="9" t="str">
        <x:v>spoken-guest-04</x:v>
      </x:c>
      <x:c r="B337" s="11" t="n">
        <x:v>1</x:v>
      </x:c>
      <x:c r="C337" s="9" t="str">
        <x:v>当前推荐</x:v>
      </x:c>
      <x:c r="D337" s="9" t="str">
        <x:v>致谢答谢</x:v>
      </x:c>
      <x:c r="E337" s="9" t="str">
        <x:v>主人</x:v>
      </x:c>
      <x:c r="F337" s="9" t="str">
        <x:v>主人的嘉意，客人收到了</x:v>
      </x:c>
      <x:c r="G337" s="9" t="str">
        <x:v>“我有嘉宾”，是主人的心意；今天这份心意，我们收到了。来，我敬主人，谢谢款待。</x:v>
      </x:c>
      <x:c r="H337" s="9" t="str">
        <x:v>“我有嘉宾”，写的是主人的厚意。今天我是来宾，这份被欢迎的心情，也想认真说给主人。谢谢你的款待，也谢谢给我们这一桌好时光，来，我敬你。</x:v>
      </x:c>
      <x:c r="I337" s="9" t="str">
        <x:v>Your welcome means a lot. Thank you for sharing your table and your time with us.</x:v>
      </x:c>
      <x:c r="J337" s="9" t="str">
        <x:v>这份欢迎我们很珍惜，谢谢你让大家同桌相聚。</x:v>
      </x:c>
      <x:c r="K337" s="9" t="str">
        <x:v>lumingGuest</x:v>
      </x:c>
      <x:c r="L337" s="9" t="str">
        <x:v>《诗经·小雅·鹿鸣》</x:v>
      </x:c>
      <x:c r="M337" s="9" t="str">
        <x:v>我有嘉宾，鼓瑟吹笙。</x:v>
      </x:c>
      <x:c r="N337" s="9" t="str">
        <x:v>来宾感谢主人；把张罗的用心说到，不抢主人安排饭局的角色。</x:v>
      </x:c>
      <x:c r="O337" s="9" t="str">
        <x:v>未限定</x:v>
      </x:c>
      <x:c r="P337" s="9" t="str">
        <x:v>未限定</x:v>
      </x:c>
      <x:c r="Q337" s="9" t="str">
        <x:v>未限定</x:v>
      </x:c>
      <x:c r="R337" s="9" t="str">
        <x:v>引句后整理</x:v>
      </x:c>
      <x:c r="S337" s="9" t="str">
        <x:v>雅致</x:v>
      </x:c>
      <x:c r="T337" s="9" t="str">
        <x:v>今天我以茶代酒，认真说声谢谢。</x:v>
      </x:c>
      <x:c r="U337" s="9" t="str">
        <x:v>I’m raising a cup of tea, with the same warm wishes.</x:v>
      </x:c>
      <x:c r="V337" s="9" t="str">
        <x:v>“我有嘉宾”，是主人的心意；今天这份心意，我们收到了。来，我敬主人，谢谢款待。</x:v>
      </x:c>
      <x:c r="W337" s="9" t="str">
        <x:v>“我有嘉宾”，写的是主人的厚意。今天我是来宾，这份被欢迎的心情，也想认真说给主人。谢谢你的款待，也谢谢给我们这一桌好时光，来，我敬你。</x:v>
      </x:c>
      <x:c r="X337" s="9" t="str">
        <x:v>spoken</x:v>
      </x:c>
      <x:c r="Y337" s="9" t="str">
        <x:v>verse</x:v>
      </x:c>
      <x:c r="Z337" s="9" t="str"/>
      <x:c r="AA337" s="12" t="str"/>
    </x:row>
    <x:row r="338" ht="42" customHeight="1">
      <x:c r="A338" s="8" t="str">
        <x:v>spoken-guest-06</x:v>
      </x:c>
      <x:c r="B338" s="10" t="n">
        <x:v>1</x:v>
      </x:c>
      <x:c r="C338" s="8" t="str">
        <x:v>当前推荐</x:v>
      </x:c>
      <x:c r="D338" s="8" t="str">
        <x:v>致谢答谢</x:v>
      </x:c>
      <x:c r="E338" s="8" t="str">
        <x:v>主人</x:v>
      </x:c>
      <x:c r="F338" s="8" t="str">
        <x:v>一桌家常，就是好款待</x:v>
      </x:c>
      <x:c r="G338" s="8" t="str">
        <x:v>“把酒话桑麻”，好朋友的款待就在这份自在里。今天谢谢主人，让我们吃得好，也聊得来。</x:v>
      </x:c>
      <x:c r="H338" s="8" t="str">
        <x:v>“把酒话桑麻”，一桌饭，几句家常，就是很好的相聚。今天谢谢主人的用心，让大家能这样自在地坐着说话。这杯敬你，也祝你往后的日子越过越有滋味。</x:v>
      </x:c>
      <x:c r="I338" s="8" t="str">
        <x:v>Thank you for a table where we can eat well, talk freely, and feel at home.</x:v>
      </x:c>
      <x:c r="J338" s="8" t="str">
        <x:v>谢谢这份款待，让大家吃得好、聊得自在，也像在家一样舒服。</x:v>
      </x:c>
      <x:c r="K338" s="8" t="str">
        <x:v>reunion</x:v>
      </x:c>
      <x:c r="L338" s="8" t="str">
        <x:v>相聚与再会</x:v>
      </x:c>
      <x:c r="M338" s="8" t="str">
        <x:v>把酒话桑麻</x:v>
      </x:c>
      <x:c r="N338" s="8" t="str">
        <x:v>来宾感谢主人；把张罗的用心说到，不抢主人安排饭局的角色。</x:v>
      </x:c>
      <x:c r="O338" s="8" t="str">
        <x:v>未限定</x:v>
      </x:c>
      <x:c r="P338" s="8" t="str">
        <x:v>未限定</x:v>
      </x:c>
      <x:c r="Q338" s="8" t="str">
        <x:v>未限定</x:v>
      </x:c>
      <x:c r="R338" s="8" t="str">
        <x:v>引句后整理</x:v>
      </x:c>
      <x:c r="S338" s="8" t="str">
        <x:v>雅致</x:v>
      </x:c>
      <x:c r="T338" s="8" t="str">
        <x:v>杯里是茶，这份感谢一样。</x:v>
      </x:c>
      <x:c r="U338" s="8" t="str">
        <x:v>I’m raising a cup of tea, with the same warm wishes.</x:v>
      </x:c>
      <x:c r="V338" s="8" t="str">
        <x:v>“把酒话桑麻”，好朋友的款待就在这份自在里。今天谢谢主人，让我们吃得好，也聊得来。</x:v>
      </x:c>
      <x:c r="W338" s="8" t="str">
        <x:v>“把酒话桑麻”，一桌饭，几句家常，就是很好的相聚。今天谢谢主人的用心，让大家能这样自在地坐着说话。这杯敬你，也祝你往后的日子越过越有滋味。</x:v>
      </x:c>
      <x:c r="X338" s="8" t="str">
        <x:v>spoken</x:v>
      </x:c>
      <x:c r="Y338" s="8" t="str">
        <x:v>verse</x:v>
      </x:c>
      <x:c r="Z338" s="8" t="str"/>
      <x:c r="AA338" s="12" t="str"/>
    </x:row>
    <x:row r="339" ht="42" customHeight="1">
      <x:c r="A339" s="9" t="str">
        <x:v>spoken-guest-07</x:v>
      </x:c>
      <x:c r="B339" s="11" t="n">
        <x:v>1</x:v>
      </x:c>
      <x:c r="C339" s="9" t="str">
        <x:v>当前推荐</x:v>
      </x:c>
      <x:c r="D339" s="9" t="str">
        <x:v>致谢答谢</x:v>
      </x:c>
      <x:c r="E339" s="9" t="str">
        <x:v>主人</x:v>
      </x:c>
      <x:c r="F339" s="9" t="str">
        <x:v>夸菜，也得夸张罗的人</x:v>
      </x:c>
      <x:c r="G339" s="9" t="str">
        <x:v>菜要夸，张罗的人更要谢。这杯敬主人，今天让你费心了，咱们以后常聚。</x:v>
      </x:c>
      <x:c r="H339" s="9" t="str">
        <x:v>吃得高兴，不能只顾着夸菜，把张罗的人忘了。今天这杯先敬主人：谢谢你费心，让我们有饭吃、有话聊、有朋友见。来，祝你往后也常有这样热闹又舒心的日子。</x:v>
      </x:c>
      <x:c r="I339" s="9" t="str">
        <x:v>The food deserves praise, and our host deserves thanks. Here’s to you!</x:v>
      </x:c>
      <x:c r="J339" s="9" t="str">
        <x:v>菜值得夸，主人更值得谢，这杯敬你。</x:v>
      </x:c>
      <x:c r="K339" s="9" t="str">
        <x:v>rhythm</x:v>
      </x:c>
      <x:c r="L339" s="9" t="str">
        <x:v>把话写给耳朵听</x:v>
      </x:c>
      <x:c r="M339" s="9" t="str"/>
      <x:c r="N339" s="9" t="str">
        <x:v>来宾感谢主人；把张罗的用心说到，不抢主人安排饭局的角色。</x:v>
      </x:c>
      <x:c r="O339" s="9" t="str">
        <x:v>未限定</x:v>
      </x:c>
      <x:c r="P339" s="9" t="str">
        <x:v>未限定</x:v>
      </x:c>
      <x:c r="Q339" s="9" t="str">
        <x:v>未限定</x:v>
      </x:c>
      <x:c r="R339" s="9" t="str">
        <x:v>依据表达方法整理</x:v>
      </x:c>
      <x:c r="S339" s="9" t="str">
        <x:v>诙谐</x:v>
      </x:c>
      <x:c r="T339" s="9" t="str">
        <x:v>今天我以茶代酒，认真说声谢谢。</x:v>
      </x:c>
      <x:c r="U339" s="9" t="str">
        <x:v>I’m raising a cup of tea, with the same warm wishes.</x:v>
      </x:c>
      <x:c r="V339" s="9" t="str">
        <x:v>菜要夸，张罗的人更要谢。这杯敬主人，今天让你费心了，咱们以后常聚。</x:v>
      </x:c>
      <x:c r="W339" s="9" t="str">
        <x:v>吃得高兴，不能只顾着夸菜，把张罗的人忘了。今天这杯先敬主人：谢谢你费心，让我们有饭吃、有话聊、有朋友见。来，祝你往后也常有这样热闹又舒心的日子。</x:v>
      </x:c>
      <x:c r="X339" s="9" t="str">
        <x:v>spoken</x:v>
      </x:c>
      <x:c r="Y339" s="9" t="str">
        <x:v>fun</x:v>
      </x:c>
      <x:c r="Z339" s="9" t="str"/>
      <x:c r="AA339" s="12" t="str"/>
    </x:row>
    <x:row r="340" ht="42" customHeight="1">
      <x:c r="A340" s="8" t="str">
        <x:v>spoken-guest-08</x:v>
      </x:c>
      <x:c r="B340" s="10" t="n">
        <x:v>1</x:v>
      </x:c>
      <x:c r="C340" s="8" t="str">
        <x:v>当前推荐</x:v>
      </x:c>
      <x:c r="D340" s="8" t="str">
        <x:v>致谢答谢</x:v>
      </x:c>
      <x:c r="E340" s="8" t="str">
        <x:v>主人</x:v>
      </x:c>
      <x:c r="F340" s="8" t="str">
        <x:v>回去可得说这顿饭的好</x:v>
      </x:c>
      <x:c r="G340" s="8" t="str">
        <x:v>今天回去，可得说说这顿饭的好。先敬主人，谢谢你把大家招呼得这么自在。</x:v>
      </x:c>
      <x:c r="H340" s="8" t="str">
        <x:v>今天我这个来吃饭的，也得尽一点责任：当面好好谢谢主人。这顿饭吃得开心，话也聊得投缘。这杯敬你，祝你费的心都有回响，下回咱们还愿意来。</x:v>
      </x:c>
      <x:c r="I340" s="8" t="str">
        <x:v>A happy guest has one job left: to thank the host properly. Cheers to you!</x:v>
      </x:c>
      <x:c r="J340" s="8" t="str">
        <x:v>吃得开心的客人，还得认真谢谢主人，这杯敬你。</x:v>
      </x:c>
      <x:c r="K340" s="8" t="str">
        <x:v>rhythm</x:v>
      </x:c>
      <x:c r="L340" s="8" t="str">
        <x:v>把话写给耳朵听</x:v>
      </x:c>
      <x:c r="M340" s="8" t="str"/>
      <x:c r="N340" s="8" t="str">
        <x:v>来宾感谢主人；把张罗的用心说到，不抢主人安排饭局的角色。</x:v>
      </x:c>
      <x:c r="O340" s="8" t="str">
        <x:v>未限定</x:v>
      </x:c>
      <x:c r="P340" s="8" t="str">
        <x:v>未限定</x:v>
      </x:c>
      <x:c r="Q340" s="8" t="str">
        <x:v>未限定</x:v>
      </x:c>
      <x:c r="R340" s="8" t="str">
        <x:v>依据表达方法整理</x:v>
      </x:c>
      <x:c r="S340" s="8" t="str">
        <x:v>诙谐</x:v>
      </x:c>
      <x:c r="T340" s="8" t="str">
        <x:v>我用茶敬这份好意，心里记着。</x:v>
      </x:c>
      <x:c r="U340" s="8" t="str">
        <x:v>I’m raising a cup of tea, with the same warm wishes.</x:v>
      </x:c>
      <x:c r="V340" s="8" t="str">
        <x:v>今天回去，可得说说这顿饭的好。先敬主人，谢谢你把大家招呼得这么自在。</x:v>
      </x:c>
      <x:c r="W340" s="8" t="str">
        <x:v>今天我这个来吃饭的，也得尽一点责任：当面好好谢谢主人。这顿饭吃得开心，话也聊得投缘。这杯敬你，祝你费的心都有回响，下回咱们还愿意来。</x:v>
      </x:c>
      <x:c r="X340" s="8" t="str">
        <x:v>spoken</x:v>
      </x:c>
      <x:c r="Y340" s="8" t="str">
        <x:v>fun</x:v>
      </x:c>
      <x:c r="Z340" s="8" t="str"/>
      <x:c r="AA340" s="12" t="str"/>
    </x:row>
    <x:row r="341" ht="42" customHeight="1">
      <x:c r="A341" s="9" t="str">
        <x:v>spoken-guest-09</x:v>
      </x:c>
      <x:c r="B341" s="11" t="n">
        <x:v>1</x:v>
      </x:c>
      <x:c r="C341" s="9" t="str">
        <x:v>当前推荐</x:v>
      </x:c>
      <x:c r="D341" s="9" t="str">
        <x:v>致谢答谢</x:v>
      </x:c>
      <x:c r="E341" s="9" t="str">
        <x:v>主人</x:v>
      </x:c>
      <x:c r="F341" s="9" t="str">
        <x:v>把大家聚起来，也是一份用心</x:v>
      </x:c>
      <x:c r="G341" s="9" t="str">
        <x:v>谢谢你把大家聚到一起。这杯敬主人，愿你的日子也常有这样的热闹和舒心。</x:v>
      </x:c>
      <x:c r="H341" s="9" t="str">
        <x:v>一桌人各有各的忙，能把大家聚起来，本身就是一份用心。这杯谢谢主人，愿你忙的时候有人搭把手，闲的时候也有人陪着好好吃饭。</x:v>
      </x:c>
      <x:c r="I341" s="9" t="str">
        <x:v>Thank you for bringing everyone together. May you have the same thoughtful company too.</x:v>
      </x:c>
      <x:c r="J341" s="9" t="str">
        <x:v>谢谢你让大家相聚，也愿你常有这样用心的人相伴。</x:v>
      </x:c>
      <x:c r="K341" s="9" t="str">
        <x:v>thanks</x:v>
      </x:c>
      <x:c r="L341" s="9" t="str">
        <x:v>感谢要有落点</x:v>
      </x:c>
      <x:c r="M341" s="9" t="str"/>
      <x:c r="N341" s="9" t="str">
        <x:v>来宾感谢主人；把张罗的用心说到，不抢主人安排饭局的角色。</x:v>
      </x:c>
      <x:c r="O341" s="9" t="str">
        <x:v>未限定</x:v>
      </x:c>
      <x:c r="P341" s="9" t="str">
        <x:v>未限定</x:v>
      </x:c>
      <x:c r="Q341" s="9" t="str">
        <x:v>未限定</x:v>
      </x:c>
      <x:c r="R341" s="9" t="str">
        <x:v>依据表达方法整理</x:v>
      </x:c>
      <x:c r="S341" s="9" t="str">
        <x:v>雅致</x:v>
      </x:c>
      <x:c r="T341" s="9" t="str">
        <x:v>杯里是茶，这份感谢一样。</x:v>
      </x:c>
      <x:c r="U341" s="9" t="str">
        <x:v>I’m raising a cup of tea, with the same warm wishes.</x:v>
      </x:c>
      <x:c r="V341" s="9" t="str">
        <x:v>谢谢你把大家聚到一起。这杯敬主人，愿你的日子也常有这样的热闹和舒心。</x:v>
      </x:c>
      <x:c r="W341" s="9" t="str">
        <x:v>一桌人各有各的忙，能把大家聚起来，本身就是一份用心。这杯谢谢主人，愿你忙的时候有人搭把手，闲的时候也有人陪着好好吃饭。</x:v>
      </x:c>
      <x:c r="X341" s="9" t="str">
        <x:v>spoken</x:v>
      </x:c>
      <x:c r="Y341" s="9" t="str">
        <x:v>plain</x:v>
      </x:c>
      <x:c r="Z341" s="9" t="str"/>
      <x:c r="AA341" s="12" t="str"/>
    </x:row>
    <x:row r="342" ht="42" customHeight="1">
      <x:c r="A342" s="8" t="str">
        <x:v>spoken-guest-10</x:v>
      </x:c>
      <x:c r="B342" s="10" t="n">
        <x:v>1</x:v>
      </x:c>
      <x:c r="C342" s="8" t="str">
        <x:v>当前推荐</x:v>
      </x:c>
      <x:c r="D342" s="8" t="str">
        <x:v>致谢答谢</x:v>
      </x:c>
      <x:c r="E342" s="8" t="str">
        <x:v>主人</x:v>
      </x:c>
      <x:c r="F342" s="8" t="str">
        <x:v>嘉宾受款待，来宾敬主人</x:v>
      </x:c>
      <x:c r="G342" s="8" t="str">
        <x:v>“我有嘉宾”，是待客的好心意。今天我这个来宾，先敬主人，认真说声谢谢。</x:v>
      </x:c>
      <x:c r="H342" s="8" t="str">
        <x:v>“我有嘉宾”，古人的好心意，今天也能在这一桌体会到。作为来宾，我先敬主人一杯，谢谢你的款待，也祝你身体好、事情顺，常有朋友来相聚。</x:v>
      </x:c>
      <x:c r="I342" s="8" t="str">
        <x:v>As your guest, I’d like to thank you for the welcome and raise a toast to you.</x:v>
      </x:c>
      <x:c r="J342" s="8" t="str">
        <x:v>作为来宾，我想谢谢你的欢迎，也敬你一杯。</x:v>
      </x:c>
      <x:c r="K342" s="8" t="str">
        <x:v>lumingGuest</x:v>
      </x:c>
      <x:c r="L342" s="8" t="str">
        <x:v>《诗经·小雅·鹿鸣》</x:v>
      </x:c>
      <x:c r="M342" s="8" t="str">
        <x:v>我有嘉宾，鼓瑟吹笙。</x:v>
      </x:c>
      <x:c r="N342" s="8" t="str">
        <x:v>来宾感谢主人；把张罗的用心说到，不抢主人安排饭局的角色。</x:v>
      </x:c>
      <x:c r="O342" s="8" t="str">
        <x:v>未限定</x:v>
      </x:c>
      <x:c r="P342" s="8" t="str">
        <x:v>未限定</x:v>
      </x:c>
      <x:c r="Q342" s="8" t="str">
        <x:v>未限定</x:v>
      </x:c>
      <x:c r="R342" s="8" t="str">
        <x:v>引句后整理</x:v>
      </x:c>
      <x:c r="S342" s="8" t="str">
        <x:v>雅致</x:v>
      </x:c>
      <x:c r="T342" s="8" t="str">
        <x:v>今天我以茶代酒，认真说声谢谢。</x:v>
      </x:c>
      <x:c r="U342" s="8" t="str">
        <x:v>I’m raising a cup of tea, with the same warm wishes.</x:v>
      </x:c>
      <x:c r="V342" s="8" t="str">
        <x:v>“我有嘉宾”，是待客的好心意。今天我这个来宾，先敬主人，认真说声谢谢。</x:v>
      </x:c>
      <x:c r="W342" s="8" t="str">
        <x:v>“我有嘉宾”，古人的好心意，今天也能在这一桌体会到。作为来宾，我先敬主人一杯，谢谢你的款待，也祝你身体好、事情顺，常有朋友来相聚。</x:v>
      </x:c>
      <x:c r="X342" s="8" t="str">
        <x:v>spoken</x:v>
      </x:c>
      <x:c r="Y342" s="8" t="str">
        <x:v>verse</x:v>
      </x:c>
      <x:c r="Z342" s="8" t="str"/>
      <x:c r="AA342" s="12" t="str"/>
    </x:row>
    <x:row r="343" ht="42" customHeight="1">
      <x:c r="A343" s="9" t="str">
        <x:v>spoken-guest-11</x:v>
      </x:c>
      <x:c r="B343" s="11" t="n">
        <x:v>1</x:v>
      </x:c>
      <x:c r="C343" s="9" t="str">
        <x:v>当前推荐</x:v>
      </x:c>
      <x:c r="D343" s="9" t="str">
        <x:v>致谢答谢</x:v>
      </x:c>
      <x:c r="E343" s="9" t="str">
        <x:v>主人</x:v>
      </x:c>
      <x:c r="F343" s="9" t="str">
        <x:v>今天这顿饭，得给用心点赞</x:v>
      </x:c>
      <x:c r="G343" s="9" t="str">
        <x:v>今天这顿饭，得给张罗的人当面点个赞。这杯敬主人，费心了，咱们吃得挺高兴。</x:v>
      </x:c>
      <x:c r="H343" s="9" t="str">
        <x:v>手机里的赞点得再快，也比不上今天当面谢一句。这杯敬主人，谢谢你费心，让大家有个好机会坐在一起。我祝你生活顺心，朋友常来。</x:v>
      </x:c>
      <x:c r="I343" s="9" t="str">
        <x:v>A real-life thank-you for a thoughtful host. Here’s to you and many more happy meals.</x:v>
      </x:c>
      <x:c r="J343" s="9" t="str">
        <x:v>当面谢谢用心的主人，也盼往后常有好饭、好相聚。</x:v>
      </x:c>
      <x:c r="K343" s="9" t="str">
        <x:v>rhythm</x:v>
      </x:c>
      <x:c r="L343" s="9" t="str">
        <x:v>把话写给耳朵听</x:v>
      </x:c>
      <x:c r="M343" s="9" t="str"/>
      <x:c r="N343" s="9" t="str">
        <x:v>来宾感谢主人；把张罗的用心说到，不抢主人安排饭局的角色。</x:v>
      </x:c>
      <x:c r="O343" s="9" t="str">
        <x:v>未限定</x:v>
      </x:c>
      <x:c r="P343" s="9" t="str">
        <x:v>未限定</x:v>
      </x:c>
      <x:c r="Q343" s="9" t="str">
        <x:v>未限定</x:v>
      </x:c>
      <x:c r="R343" s="9" t="str">
        <x:v>依据表达方法整理</x:v>
      </x:c>
      <x:c r="S343" s="9" t="str">
        <x:v>诙谐</x:v>
      </x:c>
      <x:c r="T343" s="9" t="str">
        <x:v>我用茶敬这份好意，心里记着。</x:v>
      </x:c>
      <x:c r="U343" s="9" t="str">
        <x:v>I’m raising a cup of tea, with the same warm wishes.</x:v>
      </x:c>
      <x:c r="V343" s="9" t="str">
        <x:v>今天这顿饭，得给张罗的人当面点个赞。这杯敬主人，费心了，咱们吃得挺高兴。</x:v>
      </x:c>
      <x:c r="W343" s="9" t="str">
        <x:v>手机里的赞点得再快，也比不上今天当面谢一句。这杯敬主人，谢谢你费心，让大家有个好机会坐在一起。我祝你生活顺心，朋友常来。</x:v>
      </x:c>
      <x:c r="X343" s="9" t="str">
        <x:v>spoken</x:v>
      </x:c>
      <x:c r="Y343" s="9" t="str">
        <x:v>fun</x:v>
      </x:c>
      <x:c r="Z343" s="9" t="str"/>
      <x:c r="AA343" s="12" t="str"/>
    </x:row>
    <x:row r="344" ht="42" customHeight="1">
      <x:c r="A344" s="8" t="str">
        <x:v>spoken-guest-12</x:v>
      </x:c>
      <x:c r="B344" s="10" t="n">
        <x:v>1</x:v>
      </x:c>
      <x:c r="C344" s="8" t="str">
        <x:v>当前推荐</x:v>
      </x:c>
      <x:c r="D344" s="8" t="str">
        <x:v>致谢答谢</x:v>
      </x:c>
      <x:c r="E344" s="8" t="str">
        <x:v>主人</x:v>
      </x:c>
      <x:c r="F344" s="8" t="str">
        <x:v>我这个客人，也得说句好话</x:v>
      </x:c>
      <x:c r="G344" s="8" t="str">
        <x:v>今天我这个客人不能光顾着吃，这杯得敬主人。谢谢款待，祝你往后的好日子也有滋有味。</x:v>
      </x:c>
      <x:c r="H344" s="8" t="str">
        <x:v>吃得高兴，聊得开心，我这个客人也得站出来说句谢谢。今天让你费心了，这杯敬主人，祝你的日子有滋有味，也常有别人张罗好饭等着你。</x:v>
      </x:c>
      <x:c r="I344" s="8" t="str">
        <x:v>I shouldn’t only enjoy the food—I should thank the host. Cheers, and thank you!</x:v>
      </x:c>
      <x:c r="J344" s="8" t="str">
        <x:v>不能只顾着吃，也得谢谢主人，这杯敬你。</x:v>
      </x:c>
      <x:c r="K344" s="8" t="str">
        <x:v>rhythm</x:v>
      </x:c>
      <x:c r="L344" s="8" t="str">
        <x:v>把话写给耳朵听</x:v>
      </x:c>
      <x:c r="M344" s="8" t="str"/>
      <x:c r="N344" s="8" t="str">
        <x:v>来宾感谢主人；把张罗的用心说到，不抢主人安排饭局的角色。</x:v>
      </x:c>
      <x:c r="O344" s="8" t="str">
        <x:v>未限定</x:v>
      </x:c>
      <x:c r="P344" s="8" t="str">
        <x:v>未限定</x:v>
      </x:c>
      <x:c r="Q344" s="8" t="str">
        <x:v>未限定</x:v>
      </x:c>
      <x:c r="R344" s="8" t="str">
        <x:v>依据表达方法整理</x:v>
      </x:c>
      <x:c r="S344" s="8" t="str">
        <x:v>诙谐</x:v>
      </x:c>
      <x:c r="T344" s="8" t="str">
        <x:v>杯里是茶，这份感谢一样。</x:v>
      </x:c>
      <x:c r="U344" s="8" t="str">
        <x:v>I’m raising a cup of tea, with the same warm wishes.</x:v>
      </x:c>
      <x:c r="V344" s="8" t="str">
        <x:v>今天我这个客人不能光顾着吃，这杯得敬主人。谢谢款待，祝你往后的好日子也有滋有味。</x:v>
      </x:c>
      <x:c r="W344" s="8" t="str">
        <x:v>吃得高兴，聊得开心，我这个客人也得站出来说句谢谢。今天让你费心了，这杯敬主人，祝你的日子有滋有味，也常有别人张罗好饭等着你。</x:v>
      </x:c>
      <x:c r="X344" s="8" t="str">
        <x:v>spoken</x:v>
      </x:c>
      <x:c r="Y344" s="8" t="str">
        <x:v>fun</x:v>
      </x:c>
      <x:c r="Z344" s="8" t="str"/>
      <x:c r="AA344" s="12" t="str"/>
    </x:row>
    <x:row r="345" ht="57" customHeight="1">
      <x:c r="A345" s="9" t="str">
        <x:v>thanks-host-01</x:v>
      </x:c>
      <x:c r="B345" s="11" t="n">
        <x:v>1</x:v>
      </x:c>
      <x:c r="C345" s="9" t="str">
        <x:v>当前推荐</x:v>
      </x:c>
      <x:c r="D345" s="9" t="str">
        <x:v>致谢答谢</x:v>
      </x:c>
      <x:c r="E345" s="9" t="str">
        <x:v>主人</x:v>
      </x:c>
      <x:c r="F345" s="9" t="str">
        <x:v>谢这一席款待</x:v>
      </x:c>
      <x:c r="G345" s="9" t="str">
        <x:v>佳肴有味，款待有情；谢谢这份用心，愿往后常有相聚。
这一杯，谢款待，也敬心意。</x:v>
      </x:c>
      <x:c r="H345" s="9" t="str">
        <x:v>今天这一席，佳肴有味，款待有情。借这一杯，认真谢谢主人的用心。愿往后常有这样的相聚：饭菜可以不同，情谊总有回响；话题慢慢说，好日子慢慢过。
这一杯，谢款待，也敬心意。</x:v>
      </x:c>
      <x:c r="I345" s="9" t="str">
        <x:v>Thank you for bringing us together and making us feel welcome.</x:v>
      </x:c>
      <x:c r="J345" s="9" t="str">
        <x:v>谢谢你让大家相聚，也让我们感受到欢迎。</x:v>
      </x:c>
      <x:c r="K345" s="9" t="str">
        <x:v>thanks</x:v>
      </x:c>
      <x:c r="L345" s="9" t="str">
        <x:v>感谢要有落点</x:v>
      </x:c>
      <x:c r="M345" s="9" t="str"/>
      <x:c r="N345" s="9" t="str">
        <x:v>来宾感谢主人，主人自己请选择迎宾。</x:v>
      </x:c>
      <x:c r="O345" s="9" t="str">
        <x:v>未限定</x:v>
      </x:c>
      <x:c r="P345" s="9" t="str">
        <x:v>未限定</x:v>
      </x:c>
      <x:c r="Q345" s="9" t="str">
        <x:v>未限定</x:v>
      </x:c>
      <x:c r="R345" s="9" t="str">
        <x:v>依据表达方法整理</x:v>
      </x:c>
      <x:c r="S345" s="9" t="str">
        <x:v>雅致</x:v>
      </x:c>
      <x:c r="T345" s="9" t="str"/>
      <x:c r="U345" s="9" t="str"/>
      <x:c r="V345" s="9" t="str">
        <x:v>佳肴有味，款待有情；谢谢这份用心，愿往后常有相聚。</x:v>
      </x:c>
      <x:c r="W345" s="9" t="str">
        <x:v>今天这一席，佳肴有味，款待有情。借这一杯，认真谢谢主人的用心。愿往后常有这样的相聚：饭菜可以不同，情谊总有回响；话题慢慢说，好日子慢慢过。</x:v>
      </x:c>
      <x:c r="X345" s="9" t="str"/>
      <x:c r="Y345" s="9" t="str"/>
      <x:c r="Z345" s="9" t="str"/>
      <x:c r="AA345" s="12" t="str"/>
    </x:row>
    <x:row r="346" ht="72" customHeight="1">
      <x:c r="A346" s="8" t="str">
        <x:v>thanks-verse-02</x:v>
      </x:c>
      <x:c r="B346" s="10" t="n">
        <x:v>1</x:v>
      </x:c>
      <x:c r="C346" s="8" t="str">
        <x:v>当前推荐</x:v>
      </x:c>
      <x:c r="D346" s="8" t="str">
        <x:v>致谢答谢</x:v>
      </x:c>
      <x:c r="E346" s="8" t="str">
        <x:v>主人</x:v>
      </x:c>
      <x:c r="F346" s="8" t="str">
        <x:v>谢这一席嘉意</x:v>
      </x:c>
      <x:c r="G346" s="8" t="str">
        <x:v>“我有嘉宾”，是主人的心意；这一杯，是来宾的感谢。愿款待有回响，情谊有来日。
这一杯，谢款待，也敬心意。</x:v>
      </x:c>
      <x:c r="H346" s="8" t="str">
        <x:v>《诗经》里“我有嘉宾”，写的是主人的厚意。今天我是来宾，就把感谢认真说给主人：谢谢这一席款待，也谢谢让大家相聚的用心。愿这份情谊往后常有回响，好时光常能同享。
这一杯，谢款待，也敬心意。</x:v>
      </x:c>
      <x:c r="I346" s="8" t="str">
        <x:v>Thank you for welcoming us and bringing us together. May there be many more happy gatherings.</x:v>
      </x:c>
      <x:c r="J346" s="8" t="str">
        <x:v>感谢款待与相聚的用心，也盼更多欢聚。</x:v>
      </x:c>
      <x:c r="K346" s="8" t="str">
        <x:v>lumingGuest</x:v>
      </x:c>
      <x:c r="L346" s="8" t="str">
        <x:v>《诗经·小雅·鹿鸣》</x:v>
      </x:c>
      <x:c r="M346" s="8" t="str">
        <x:v>我有嘉宾，鼓瑟吹笙。</x:v>
      </x:c>
      <x:c r="N346" s="8" t="str">
        <x:v>明确引用描述主人、随后以客人身份致谢；不冒用主人口吻。</x:v>
      </x:c>
      <x:c r="O346" s="8" t="str">
        <x:v>未限定</x:v>
      </x:c>
      <x:c r="P346" s="8" t="str">
        <x:v>未限定</x:v>
      </x:c>
      <x:c r="Q346" s="8" t="str">
        <x:v>未限定</x:v>
      </x:c>
      <x:c r="R346" s="8" t="str">
        <x:v>引句后整理</x:v>
      </x:c>
      <x:c r="S346" s="8" t="str">
        <x:v>雅致</x:v>
      </x:c>
      <x:c r="T346" s="8" t="str"/>
      <x:c r="U346" s="8" t="str"/>
      <x:c r="V346" s="8" t="str">
        <x:v>“我有嘉宾”，是主人的心意；这一杯，是来宾的感谢。愿款待有回响，情谊有来日。</x:v>
      </x:c>
      <x:c r="W346" s="8" t="str">
        <x:v>《诗经》里“我有嘉宾”，写的是主人的厚意。今天我是来宾，就把感谢认真说给主人：谢谢这一席款待，也谢谢让大家相聚的用心。愿这份情谊往后常有回响，好时光常能同享。</x:v>
      </x:c>
      <x:c r="X346" s="8" t="str"/>
      <x:c r="Y346" s="8" t="str"/>
      <x:c r="Z346" s="8" t="str"/>
      <x:c r="AA346" s="12" t="str"/>
    </x:row>
    <x:row r="347" ht="57" customHeight="1">
      <x:c r="A347" s="9" t="str">
        <x:v>verse-qian-tea-guest</x:v>
      </x:c>
      <x:c r="B347" s="11" t="n">
        <x:v>1</x:v>
      </x:c>
      <x:c r="C347" s="9" t="str">
        <x:v>当前推荐</x:v>
      </x:c>
      <x:c r="D347" s="9" t="str">
        <x:v>致谢答谢</x:v>
      </x:c>
      <x:c r="E347" s="9" t="str">
        <x:v>主人</x:v>
      </x:c>
      <x:c r="F347" s="9" t="str">
        <x:v>好款待，让人自在</x:v>
      </x:c>
      <x:c r="G347" s="9" t="str">
        <x:v>“竹下忘言对紫茶，全胜羽客醉流霞。”茶也好，酒也好，今天最难得的是这份自在。敬主人，谢谢你的款待，愿以后常有这样的相聚。</x:v>
      </x:c>
      <x:c r="H347" s="9" t="str">
        <x:v>“竹下忘言对紫茶，全胜羽客醉流霞。”钱起写茶宴，有一种不拘束的清趣。今天坐在这里，也很喜欢这份自在：不用找场面话，饭吃得舒心，话聊得投缘。这杯我敬主人，谢谢用心张罗，也愿你往后的日子常有朋友相伴。</x:v>
      </x:c>
      <x:c r="I347" s="9" t="str">
        <x:v>Thank you for a warm, relaxed gathering. May the welcome you offer bring you good company in return.</x:v>
      </x:c>
      <x:c r="J347" s="9" t="str">
        <x:v>谢谢温暖自在的款待，也愿你常有好朋友相伴。</x:v>
      </x:c>
      <x:c r="K347" s="9" t="str">
        <x:v>poem-qian-tea</x:v>
      </x:c>
      <x:c r="L347" s="9" t="str">
        <x:v>钱起《与赵莒茶宴》</x:v>
      </x:c>
      <x:c r="M347" s="9" t="str">
        <x:v>竹下忘言对紫茶，全胜羽客醉流霞。</x:v>
      </x:c>
      <x:c r="N347" s="9" t="str">
        <x:v>流霞是传说中的仙酒；取茶席有清趣，不作饮品功效比较。 原诗写茶宴的清趣；取以茶相聚也能有兴致，不比较饮品高低，也不声称有仙人。</x:v>
      </x:c>
      <x:c r="O347" s="9" t="str">
        <x:v>邀饮待客、好友知己</x:v>
      </x:c>
      <x:c r="P347" s="9" t="str">
        <x:v>未限定</x:v>
      </x:c>
      <x:c r="Q347" s="9" t="str">
        <x:v>未限定</x:v>
      </x:c>
      <x:c r="R347" s="9" t="str">
        <x:v>引句后整理</x:v>
      </x:c>
      <x:c r="S347" s="9" t="str">
        <x:v>雅致</x:v>
      </x:c>
      <x:c r="T347" s="9" t="str">
        <x:v>我以茶代酒，心意一样。</x:v>
      </x:c>
      <x:c r="U347" s="9" t="str">
        <x:v>With tea in my cup and the same warm wishes.</x:v>
      </x:c>
      <x:c r="V347" s="9" t="str">
        <x:v>“竹下忘言对紫茶，全胜羽客醉流霞。”茶也好，酒也好，今天最难得的是这份自在。敬主人，谢谢你的款待，愿以后常有这样的相聚。</x:v>
      </x:c>
      <x:c r="W347" s="9" t="str">
        <x:v>“竹下忘言对紫茶，全胜羽客醉流霞。”钱起写茶宴，有一种不拘束的清趣。今天坐在这里，也很喜欢这份自在：不用找场面话，饭吃得舒心，话聊得投缘。这杯我敬主人，谢谢用心张罗，也愿你往后的日子常有朋友相伴。</x:v>
      </x:c>
      <x:c r="X347" s="9" t="str">
        <x:v>spoken</x:v>
      </x:c>
      <x:c r="Y347" s="9" t="str">
        <x:v>verse</x:v>
      </x:c>
      <x:c r="Z347" s="9" t="str"/>
      <x:c r="AA347" s="12" t="str"/>
    </x:row>
    <x:row r="348" ht="57" customHeight="1">
      <x:c r="A348" s="8" t="str">
        <x:v>verse-su-flower</x:v>
      </x:c>
      <x:c r="B348" s="10" t="n">
        <x:v>1</x:v>
      </x:c>
      <x:c r="C348" s="8" t="str">
        <x:v>当前推荐</x:v>
      </x:c>
      <x:c r="D348" s="8" t="str">
        <x:v>致谢答谢</x:v>
      </x:c>
      <x:c r="E348" s="8" t="str">
        <x:v>主人</x:v>
      </x:c>
      <x:c r="F348" s="8" t="str">
        <x:v>款待不止在饭菜里</x:v>
      </x:c>
      <x:c r="G348" s="8" t="str">
        <x:v>“花间置酒清香发，争挽长条落香雪。”好款待，不只在饭菜里，也在让人放松的心意里。这杯敬主人，谢谢今天这一桌好时光。</x:v>
      </x:c>
      <x:c r="H348" s="8" t="str">
        <x:v>读苏轼的“花间置酒清香发，争挽长条落香雪”，觉得待客最动人的，是愿意替朋友添一点兴致。今天坐在这里，也能感受到这份用心。饭菜有滋味，相处不拘束，这杯我敬主人：谢谢款待，愿以后也有机会好好招待你。</x:v>
      </x:c>
      <x:c r="I348" s="8" t="str">
        <x:v>Thank you for a thoughtful welcome and a gathering where everyone can relax. I hope to return that kindness.</x:v>
      </x:c>
      <x:c r="J348" s="8" t="str">
        <x:v>谢谢用心款待，也愿以后有机会回应这份好意。</x:v>
      </x:c>
      <x:c r="K348" s="8" t="str">
        <x:v>poem-su-flower</x:v>
      </x:c>
      <x:c r="L348" s="8" t="str">
        <x:v>苏轼《月夜与客饮酒杏花下》</x:v>
      </x:c>
      <x:c r="M348" s="8" t="str">
        <x:v>花间置酒清香发，争挽长条落香雪。</x:v>
      </x:c>
      <x:c r="N348" s="8" t="str">
        <x:v>诗中花间设酒、挽枝落花；取待客有兴味，不声称现场有杏花或雪。</x:v>
      </x:c>
      <x:c r="O348" s="8" t="str">
        <x:v>邀饮待客、夜晚小酌</x:v>
      </x:c>
      <x:c r="P348" s="8" t="str">
        <x:v>未限定</x:v>
      </x:c>
      <x:c r="Q348" s="8" t="str">
        <x:v>未限定</x:v>
      </x:c>
      <x:c r="R348" s="8" t="str">
        <x:v>引句后整理</x:v>
      </x:c>
      <x:c r="S348" s="8" t="str">
        <x:v>雅致</x:v>
      </x:c>
      <x:c r="T348" s="8" t="str">
        <x:v>我以茶代酒，心意一样。</x:v>
      </x:c>
      <x:c r="U348" s="8" t="str">
        <x:v>With tea in my cup and the same warm wishes.</x:v>
      </x:c>
      <x:c r="V348" s="8" t="str">
        <x:v>“花间置酒清香发，争挽长条落香雪。”好款待，不只在饭菜里，也在让人放松的心意里。这杯敬主人，谢谢今天这一桌好时光。</x:v>
      </x:c>
      <x:c r="W348" s="8" t="str">
        <x:v>读苏轼的“花间置酒清香发，争挽长条落香雪”，觉得待客最动人的，是愿意替朋友添一点兴致。今天坐在这里，也能感受到这份用心。饭菜有滋味，相处不拘束，这杯我敬主人：谢谢款待，愿以后也有机会好好招待你。</x:v>
      </x:c>
      <x:c r="X348" s="8" t="str">
        <x:v>spoken</x:v>
      </x:c>
      <x:c r="Y348" s="8" t="str">
        <x:v>verse</x:v>
      </x:c>
      <x:c r="Z348" s="8" t="str"/>
      <x:c r="AA348" s="12" t="str"/>
    </x:row>
    <x:row r="349" ht="57" customHeight="1">
      <x:c r="A349" s="9" t="str">
        <x:v>verse-wang-welcome</x:v>
      </x:c>
      <x:c r="B349" s="11" t="n">
        <x:v>1</x:v>
      </x:c>
      <x:c r="C349" s="9" t="str">
        <x:v>当前推荐</x:v>
      </x:c>
      <x:c r="D349" s="9" t="str">
        <x:v>致谢答谢</x:v>
      </x:c>
      <x:c r="E349" s="9" t="str">
        <x:v>主人</x:v>
      </x:c>
      <x:c r="F349" s="9" t="str">
        <x:v>这一杯，谢你把大家放在心上</x:v>
      </x:c>
      <x:c r="G349" s="9" t="str">
        <x:v>“轻舸迎上客，悠悠湖上来。”古人用船迎客，今天你用一桌饭把大家聚起来。这杯敬主人，谢谢你把我们放在心上。</x:v>
      </x:c>
      <x:c r="H349" s="9" t="str">
        <x:v>王维写“轻舸迎上客，悠悠湖上来”，待客的认真，隔着诗也能感觉到。今天大家能坐在一起，也有人提前张罗、费心安排。作为来宾，我先敬主人一杯：谢谢你的用心，愿你招待朋友的热情，也常有人回应。</x:v>
      </x:c>
      <x:c r="I349" s="9" t="str">
        <x:v>Thank you for bringing us together and making us feel welcome. May your kindness find a warm response.</x:v>
      </x:c>
      <x:c r="J349" s="9" t="str">
        <x:v>谢谢张罗相聚，也愿你的用心常有温暖回应。</x:v>
      </x:c>
      <x:c r="K349" s="9" t="str">
        <x:v>poem-wang-welcome</x:v>
      </x:c>
      <x:c r="L349" s="9" t="str">
        <x:v>王维《临湖亭》</x:v>
      </x:c>
      <x:c r="M349" s="9" t="str">
        <x:v>轻舸迎上客，悠悠湖上来。</x:v>
      </x:c>
      <x:c r="N349" s="9" t="str">
        <x:v>上客指贵客；借迎客的郑重表达主人的用心，不说今天乘船而来。</x:v>
      </x:c>
      <x:c r="O349" s="9" t="str">
        <x:v>邀饮待客、好友知己</x:v>
      </x:c>
      <x:c r="P349" s="9" t="str">
        <x:v>未限定</x:v>
      </x:c>
      <x:c r="Q349" s="9" t="str">
        <x:v>未限定</x:v>
      </x:c>
      <x:c r="R349" s="9" t="str">
        <x:v>引句后整理</x:v>
      </x:c>
      <x:c r="S349" s="9" t="str">
        <x:v>雅致</x:v>
      </x:c>
      <x:c r="T349" s="9" t="str">
        <x:v>我以茶代酒，心意一样。</x:v>
      </x:c>
      <x:c r="U349" s="9" t="str">
        <x:v>With tea in my cup and the same warm wishes.</x:v>
      </x:c>
      <x:c r="V349" s="9" t="str">
        <x:v>“轻舸迎上客，悠悠湖上来。”古人用船迎客，今天你用一桌饭把大家聚起来。这杯敬主人，谢谢你把我们放在心上。</x:v>
      </x:c>
      <x:c r="W349" s="9" t="str">
        <x:v>王维写“轻舸迎上客，悠悠湖上来”，待客的认真，隔着诗也能感觉到。今天大家能坐在一起，也有人提前张罗、费心安排。作为来宾，我先敬主人一杯：谢谢你的用心，愿你招待朋友的热情，也常有人回应。</x:v>
      </x:c>
      <x:c r="X349" s="9" t="str">
        <x:v>spoken</x:v>
      </x:c>
      <x:c r="Y349" s="9" t="str">
        <x:v>verse</x:v>
      </x:c>
      <x:c r="Z349" s="9" t="str"/>
      <x:c r="AA349" s="12" t="str"/>
    </x:row>
    <x:row r="350" ht="57" customHeight="1">
      <x:c r="A350" s="8" t="str">
        <x:v>r04-shi-311-2</x:v>
      </x:c>
      <x:c r="B350" s="10" t="n">
        <x:v>1</x:v>
      </x:c>
      <x:c r="C350" s="8" t="str">
        <x:v>当前推荐</x:v>
      </x:c>
      <x:c r="D350" s="8" t="str">
        <x:v>致谢答谢</x:v>
      </x:c>
      <x:c r="E350" s="8" t="str">
        <x:v>全桌</x:v>
      </x:c>
      <x:c r="F350" s="8" t="str">
        <x:v>记住一份照顾 · 再说一句</x:v>
      </x:c>
      <x:c r="G350" s="8" t="str">
        <x:v>古人写衣食来往，我借它谢一份体贴：那些替别人多想一步的小事，都值得认真说声谢谢。借诗词中的一句：“适子之馆兮”</x:v>
      </x:c>
      <x:c r="H350" s="8" t="str">
        <x:v>古人写衣食来往，我借它谢一份体贴：那些替别人多想一步的小事，都值得认真说声谢谢。
借《诗经》的一句：“适子之馆兮”这杯把谢意送到，愿善意有回应，来往有温度。</x:v>
      </x:c>
      <x:c r="I350" s="8" t="str">
        <x:v>To the small kindnesses that make ordinary days feel warmer. Here is to another good day together.</x:v>
      </x:c>
      <x:c r="J350" s="8" t="str">
        <x:v>敬让平常日子更温暖的小小好意。也盼再有同聚的好日子。</x:v>
      </x:c>
      <x:c r="K350" s="8" t="str">
        <x:v>r04-shi-311</x:v>
      </x:c>
      <x:c r="L350" s="8" t="str">
        <x:v>《诗经·缁衣》</x:v>
      </x:c>
      <x:c r="M350" s="8" t="str">
        <x:v>适子之馆兮</x:v>
      </x:c>
      <x:c r="N350" s="8" t="str">
        <x:v>赠衣、照顾生活的诗，亦有美德说；不预设对方为用户缝过衣。</x:v>
      </x:c>
      <x:c r="O350" s="8" t="str">
        <x:v>邀饮待客</x:v>
      </x:c>
      <x:c r="P350" s="8" t="str">
        <x:v>未限定</x:v>
      </x:c>
      <x:c r="Q350" s="8" t="str">
        <x:v>未限定</x:v>
      </x:c>
      <x:c r="R350" s="8" t="str">
        <x:v>引句后整理</x:v>
      </x:c>
      <x:c r="S350" s="8" t="str">
        <x:v>雅致</x:v>
      </x:c>
      <x:c r="T350" s="8" t="str">
        <x:v>我以茶代酒，心意一样真。</x:v>
      </x:c>
      <x:c r="U350" s="8" t="str">
        <x:v>With tea in my cup and the same warm wishes.</x:v>
      </x:c>
      <x:c r="V350" s="8" t="str">
        <x:v>古人写衣食来往，我借它谢一份体贴：那些替别人多想一步的小事，都值得认真说声谢谢。借诗词中的一句：“适子之馆兮”</x:v>
      </x:c>
      <x:c r="W350" s="8" t="str">
        <x:v>古人写衣食来往，我借它谢一份体贴：那些替别人多想一步的小事，都值得认真说声谢谢。
借《诗经》的一句：“适子之馆兮”这杯把谢意送到，愿善意有回应，来往有温度。</x:v>
      </x:c>
      <x:c r="X350" s="8" t="str">
        <x:v>spoken</x:v>
      </x:c>
      <x:c r="Y350" s="8" t="str">
        <x:v>verse-2</x:v>
      </x:c>
      <x:c r="Z350" s="8" t="str"/>
      <x:c r="AA350" s="12" t="str"/>
    </x:row>
    <x:row r="351" ht="72" customHeight="1">
      <x:c r="A351" s="9" t="str">
        <x:v>r04-shi-339-2</x:v>
      </x:c>
      <x:c r="B351" s="11" t="n">
        <x:v>1</x:v>
      </x:c>
      <x:c r="C351" s="9" t="str">
        <x:v>当前推荐</x:v>
      </x:c>
      <x:c r="D351" s="9" t="str">
        <x:v>致谢答谢</x:v>
      </x:c>
      <x:c r="E351" s="9" t="str">
        <x:v>全桌</x:v>
      </x:c>
      <x:c r="F351" s="9" t="str">
        <x:v>把人的好记住 · 再说一句</x:v>
      </x:c>
      <x:c r="G351" s="9" t="str">
        <x:v>这四个字，借来说声谢谢：好意我记着，祝福也认真送给你。愿你照顾别人的时候，也有人照顾你。借诗词中的一句：“德音不忘。”</x:v>
      </x:c>
      <x:c r="H351" s="9" t="str">
        <x:v>这四个字，借来说声谢谢：好意我记着，祝福也认真送给你。愿你照顾别人的时候，也有人照顾你。
《诗经·有女同车》写道：“德音不忘。”这杯把谢意送到，愿善意有回应，来往有温度。</x:v>
      </x:c>
      <x:c r="I351" s="9" t="str">
        <x:v>To knowing a person beyond first impressions and remembering their kindness. Here is to another good day together.</x:v>
      </x:c>
      <x:c r="J351" s="9" t="str">
        <x:v>愿慢慢了解一个人，也记得其好意。也盼再有同聚的好日子。</x:v>
      </x:c>
      <x:c r="K351" s="9" t="str">
        <x:v>r04-shi-339</x:v>
      </x:c>
      <x:c r="L351" s="9" t="str">
        <x:v>《诗经·有女同车》</x:v>
      </x:c>
      <x:c r="M351" s="9" t="str">
        <x:v>德音不忘。</x:v>
      </x:c>
      <x:c r="N351" s="9" t="str">
        <x:v>恋歌赞美人的容貌与品德；借不忘好意，不把初识写成已相爱。</x:v>
      </x:c>
      <x:c r="O351" s="9" t="str">
        <x:v>邀饮待客</x:v>
      </x:c>
      <x:c r="P351" s="9" t="str">
        <x:v>未限定</x:v>
      </x:c>
      <x:c r="Q351" s="9" t="str">
        <x:v>未限定</x:v>
      </x:c>
      <x:c r="R351" s="9" t="str">
        <x:v>引句后整理</x:v>
      </x:c>
      <x:c r="S351" s="9" t="str">
        <x:v>雅致</x:v>
      </x:c>
      <x:c r="T351" s="9" t="str">
        <x:v>我以茶代酒，心意一样真。</x:v>
      </x:c>
      <x:c r="U351" s="9" t="str">
        <x:v>With tea in my cup and the same warm wishes.</x:v>
      </x:c>
      <x:c r="V351" s="9" t="str">
        <x:v>这四个字，借来说声谢谢：好意我记着，祝福也认真送给你。愿你照顾别人的时候，也有人照顾你。借诗词中的一句：“德音不忘。”</x:v>
      </x:c>
      <x:c r="W351" s="9" t="str">
        <x:v>这四个字，借来说声谢谢：好意我记着，祝福也认真送给你。愿你照顾别人的时候，也有人照顾你。
《诗经·有女同车》写道：“德音不忘。”这杯把谢意送到，愿善意有回应，来往有温度。</x:v>
      </x:c>
      <x:c r="X351" s="9" t="str">
        <x:v>spoken</x:v>
      </x:c>
      <x:c r="Y351" s="9" t="str">
        <x:v>verse-0</x:v>
      </x:c>
      <x:c r="Z351" s="9" t="str"/>
      <x:c r="AA351" s="12" t="str"/>
    </x:row>
    <x:row r="352" ht="72" customHeight="1">
      <x:c r="A352" s="8" t="str">
        <x:v>r04-shi-697-2</x:v>
      </x:c>
      <x:c r="B352" s="10" t="n">
        <x:v>1</x:v>
      </x:c>
      <x:c r="C352" s="8" t="str">
        <x:v>当前推荐</x:v>
      </x:c>
      <x:c r="D352" s="8" t="str">
        <x:v>致谢答谢</x:v>
      </x:c>
      <x:c r="E352" s="8" t="str">
        <x:v>全桌</x:v>
      </x:c>
      <x:c r="F352" s="8" t="str">
        <x:v>见面心里松快 · 再说一句</x:v>
      </x:c>
      <x:c r="G352" s="8" t="str">
        <x:v>一句体贴的话、一点及时的照应，常能让人松口气。今天借这句诗谢你的好意，愿你也常遇这样的人。借诗词中的一句：“既见君子，我心写兮。”</x:v>
      </x:c>
      <x:c r="H352" s="8" t="str">
        <x:v>一句体贴的话、一点及时的照应，常能让人松口气。今天借这句诗谢你的好意，愿你也常遇这样的人。
《诗经》里有一句：“既见君子，我心写兮。”这杯把谢意送到，愿善意有回应，来往有温度。</x:v>
      </x:c>
      <x:c r="I352" s="8" t="str">
        <x:v>To the relief of meeting someone with whom we can speak freely. Here is to another good day together.</x:v>
      </x:c>
      <x:c r="J352" s="8" t="str">
        <x:v>敬见到能自在交谈之人的那份松快。也盼再有同聚的好日子。</x:v>
      </x:c>
      <x:c r="K352" s="8" t="str">
        <x:v>r04-shi-697</x:v>
      </x:c>
      <x:c r="L352" s="8" t="str">
        <x:v>《诗经·蓼萧》</x:v>
      </x:c>
      <x:c r="M352" s="8" t="str">
        <x:v>既见君子，我心写兮。</x:v>
      </x:c>
      <x:c r="N352" s="8" t="str">
        <x:v>原有朝见宴饮语境，写通泻、舒畅；借见面后心中舒展，不混作写字。</x:v>
      </x:c>
      <x:c r="O352" s="8" t="str">
        <x:v>邀饮待客</x:v>
      </x:c>
      <x:c r="P352" s="8" t="str">
        <x:v>未限定</x:v>
      </x:c>
      <x:c r="Q352" s="8" t="str">
        <x:v>未限定</x:v>
      </x:c>
      <x:c r="R352" s="8" t="str">
        <x:v>引句后整理</x:v>
      </x:c>
      <x:c r="S352" s="8" t="str">
        <x:v>雅致</x:v>
      </x:c>
      <x:c r="T352" s="8" t="str">
        <x:v>我以茶代酒，心意一样真。</x:v>
      </x:c>
      <x:c r="U352" s="8" t="str">
        <x:v>With tea in my cup and the same warm wishes.</x:v>
      </x:c>
      <x:c r="V352" s="8" t="str">
        <x:v>一句体贴的话、一点及时的照应，常能让人松口气。今天借这句诗谢你的好意，愿你也常遇这样的人。借诗词中的一句：“既见君子，我心写兮。”</x:v>
      </x:c>
      <x:c r="W352" s="8" t="str">
        <x:v>一句体贴的话、一点及时的照应，常能让人松口气。今天借这句诗谢你的好意，愿你也常遇这样的人。
《诗经》里有一句：“既见君子，我心写兮。”这杯把谢意送到，愿善意有回应，来往有温度。</x:v>
      </x:c>
      <x:c r="X352" s="8" t="str">
        <x:v>spoken</x:v>
      </x:c>
      <x:c r="Y352" s="8" t="str">
        <x:v>verse-3</x:v>
      </x:c>
      <x:c r="Z352" s="8" t="str"/>
      <x:c r="AA352" s="12" t="str"/>
    </x:row>
    <x:row r="353" ht="57" customHeight="1">
      <x:c r="A353" s="9" t="str">
        <x:v>r04-shi-710-1</x:v>
      </x:c>
      <x:c r="B353" s="11" t="n">
        <x:v>1</x:v>
      </x:c>
      <x:c r="C353" s="9" t="str">
        <x:v>当前推荐</x:v>
      </x:c>
      <x:c r="D353" s="9" t="str">
        <x:v>致谢答谢</x:v>
      </x:c>
      <x:c r="E353" s="9" t="str">
        <x:v>全桌</x:v>
      </x:c>
      <x:c r="F353" s="9" t="str">
        <x:v>受教也是欢喜</x:v>
      </x:c>
      <x:c r="G353" s="9" t="str">
        <x:v>《诗经》里有一句：“既见君子，我心则喜。”有些人让我们聊完以后，想法更清楚一点，心气也更足一点。今天这杯谢相遇，愿这样的好交流常有。</x:v>
      </x:c>
      <x:c r="H353" s="9" t="str">
        <x:v>《诗经》里有一句：“既见君子，我心则喜。”有些人让我们聊完以后，想法更清楚一点，心气也更足一点。今天这杯谢相遇，愿这样的好交流常有。
这杯把谢意送到，愿善意有回应，来往有温度。</x:v>
      </x:c>
      <x:c r="I353" s="9" t="str">
        <x:v>To conversations that leave us a little wiser and a little more hopeful.</x:v>
      </x:c>
      <x:c r="J353" s="9" t="str">
        <x:v>愿交谈带来一点新知，也添一分盼头。</x:v>
      </x:c>
      <x:c r="K353" s="9" t="str">
        <x:v>r04-shi-710</x:v>
      </x:c>
      <x:c r="L353" s="9" t="str">
        <x:v>《诗经·菁菁者莪》</x:v>
      </x:c>
      <x:c r="M353" s="9" t="str">
        <x:v>既见君子，我心则喜。</x:v>
      </x:c>
      <x:c r="N353" s="9" t="str">
        <x:v>有乐育人才等解释；借相见与受教之喜，不编造具体师生经历。</x:v>
      </x:c>
      <x:c r="O353" s="9" t="str">
        <x:v>邀饮待客</x:v>
      </x:c>
      <x:c r="P353" s="9" t="str">
        <x:v>未限定</x:v>
      </x:c>
      <x:c r="Q353" s="9" t="str">
        <x:v>未限定</x:v>
      </x:c>
      <x:c r="R353" s="9" t="str">
        <x:v>引句后整理</x:v>
      </x:c>
      <x:c r="S353" s="9" t="str">
        <x:v>雅致</x:v>
      </x:c>
      <x:c r="T353" s="9" t="str">
        <x:v>我以茶代酒，心意一样真。</x:v>
      </x:c>
      <x:c r="U353" s="9" t="str">
        <x:v>With tea in my cup and the same warm wishes.</x:v>
      </x:c>
      <x:c r="V353" s="9" t="str">
        <x:v>《诗经》里有一句：“既见君子，我心则喜。”有些人让我们聊完以后，想法更清楚一点，心气也更足一点。今天这杯谢相遇，愿这样的好交流常有。</x:v>
      </x:c>
      <x:c r="W353" s="9" t="str">
        <x:v>《诗经》里有一句：“既见君子，我心则喜。”有些人让我们聊完以后，想法更清楚一点，心气也更足一点。今天这杯谢相遇，愿这样的好交流常有。
这杯把谢意送到，愿善意有回应，来往有温度。</x:v>
      </x:c>
      <x:c r="X353" s="9" t="str">
        <x:v>spoken</x:v>
      </x:c>
      <x:c r="Y353" s="9" t="str">
        <x:v>verse-2</x:v>
      </x:c>
      <x:c r="Z353" s="9" t="str"/>
      <x:c r="AA353" s="12" t="str"/>
    </x:row>
    <x:row r="354" ht="72" customHeight="1">
      <x:c r="A354" s="8" t="str">
        <x:v>r04-story-01-2</x:v>
      </x:c>
      <x:c r="B354" s="10" t="n">
        <x:v>1</x:v>
      </x:c>
      <x:c r="C354" s="8" t="str">
        <x:v>当前推荐</x:v>
      </x:c>
      <x:c r="D354" s="8" t="str">
        <x:v>致谢答谢</x:v>
      </x:c>
      <x:c r="E354" s="8" t="str">
        <x:v>全桌</x:v>
      </x:c>
      <x:c r="F354" s="8" t="str">
        <x:v>见面让心宽一点 · 再说一句</x:v>
      </x:c>
      <x:c r="G354" s="8" t="str">
        <x:v>今天借这则旧事谢你：有些好意，让人心里更宽一点。愿你给出去的温厚，往后也有人认真回应。借这则旧事的一句：“吾时月不见黄叔度，则鄙吝之心已复生矣。”</x:v>
      </x:c>
      <x:c r="H354" s="8" t="str">
        <x:v>今天借这则旧事谢你：有些好意，让人心里更宽一点。愿你给出去的温厚，往后也有人认真回应。
《世说新语》里记载：“吾时月不见黄叔度，则鄙吝之心已复生矣。”这杯把谢意送到，愿善意有回应，来往有温度。</x:v>
      </x:c>
      <x:c r="I354" s="8" t="str">
        <x:v>To people whose presence makes our own hearts a little more generous. Here is to another good day together.</x:v>
      </x:c>
      <x:c r="J354" s="8" t="str">
        <x:v>敬让我们心里更宽厚的人。也盼再有同聚的好日子。</x:v>
      </x:c>
      <x:c r="K354" s="8" t="str">
        <x:v>r04-story-01</x:v>
      </x:c>
      <x:c r="L354" s="8" t="str">
        <x:v>《世说新语·德行第二则》周子居忆黄叔度</x:v>
      </x:c>
      <x:c r="M354" s="8" t="str">
        <x:v>吾时月不见黄叔度，则鄙吝之心已复生矣。</x:v>
      </x:c>
      <x:c r="N354" s="8" t="str">
        <x:v>重在与宽厚之人相处的感受；不把朋友未见面说成品德变坏。</x:v>
      </x:c>
      <x:c r="O354" s="8" t="str">
        <x:v>邀饮待客、月色入杯、夜晚小酌</x:v>
      </x:c>
      <x:c r="P354" s="8" t="str">
        <x:v>未限定</x:v>
      </x:c>
      <x:c r="Q354" s="8" t="str">
        <x:v>未限定</x:v>
      </x:c>
      <x:c r="R354" s="8" t="str">
        <x:v>引句后整理</x:v>
      </x:c>
      <x:c r="S354" s="8" t="str">
        <x:v>雅致</x:v>
      </x:c>
      <x:c r="T354" s="8" t="str">
        <x:v>我以茶代酒，心意一样真。</x:v>
      </x:c>
      <x:c r="U354" s="8" t="str">
        <x:v>With tea in my cup and the same warm wishes.</x:v>
      </x:c>
      <x:c r="V354" s="8" t="str">
        <x:v>今天借这则旧事谢你：有些好意，让人心里更宽一点。愿你给出去的温厚，往后也有人认真回应。借这则旧事的一句：“吾时月不见黄叔度，则鄙吝之心已复生矣。”</x:v>
      </x:c>
      <x:c r="W354" s="8" t="str">
        <x:v>今天借这则旧事谢你：有些好意，让人心里更宽一点。愿你给出去的温厚，往后也有人认真回应。
《世说新语》里记载：“吾时月不见黄叔度，则鄙吝之心已复生矣。”这杯把谢意送到，愿善意有回应，来往有温度。</x:v>
      </x:c>
      <x:c r="X354" s="8" t="str">
        <x:v>spoken</x:v>
      </x:c>
      <x:c r="Y354" s="8" t="str">
        <x:v>story-0</x:v>
      </x:c>
      <x:c r="Z354" s="8" t="str"/>
      <x:c r="AA354" s="12" t="str"/>
    </x:row>
    <x:row r="355" ht="72" customHeight="1">
      <x:c r="A355" s="9" t="str">
        <x:v>r04-story-10-2</x:v>
      </x:c>
      <x:c r="B355" s="11" t="n">
        <x:v>1</x:v>
      </x:c>
      <x:c r="C355" s="9" t="str">
        <x:v>当前推荐</x:v>
      </x:c>
      <x:c r="D355" s="9" t="str">
        <x:v>致谢答谢</x:v>
      </x:c>
      <x:c r="E355" s="9" t="str">
        <x:v>全桌</x:v>
      </x:c>
      <x:c r="F355" s="9" t="str">
        <x:v>把好意养在日常 · 再说一句</x:v>
      </x:c>
      <x:c r="G355" s="9" t="str">
        <x:v>好的照应，常常是给人一点时间、一点信心。今天借这则旧事谢你的用心，愿往后有机会，也把这份好意传下去。借这则旧事的一句：“譬如芝兰玉树，欲使其生于阶庭耳。”</x:v>
      </x:c>
      <x:c r="H355" s="9" t="str">
        <x:v>好的照应，常常是给人一点时间、一点信心。今天借这则旧事谢你的用心，愿往后有机会，也把这份好意传下去。
《世说新语》里记载：“譬如芝兰玉树，欲使其生于阶庭耳。”这杯把谢意送到，愿善意有回应，来往有温度。</x:v>
      </x:c>
      <x:c r="I355" s="9" t="str">
        <x:v>To giving each other time, confidence, and room to grow. Here is to another good day together.</x:v>
      </x:c>
      <x:c r="J355" s="9" t="str">
        <x:v>愿给彼此时间、信心和成长的余地。也盼再有同聚的好日子。</x:v>
      </x:c>
      <x:c r="K355" s="9" t="str">
        <x:v>r04-story-10</x:v>
      </x:c>
      <x:c r="L355" s="9" t="str">
        <x:v>《世说新语·言语第九十二则》谢玄芝兰玉树</x:v>
      </x:c>
      <x:c r="M355" s="9" t="str">
        <x:v>譬如芝兰玉树，欲使其生于阶庭耳。</x:v>
      </x:c>
      <x:c r="N355" s="9" t="str">
        <x:v>车骑指谢玄，原谈子弟成长；借培育和欣赏，不默认用户有子女、不夸定前程。</x:v>
      </x:c>
      <x:c r="O355" s="9" t="str">
        <x:v>邀饮待客</x:v>
      </x:c>
      <x:c r="P355" s="9" t="str">
        <x:v>未限定</x:v>
      </x:c>
      <x:c r="Q355" s="9" t="str">
        <x:v>未限定</x:v>
      </x:c>
      <x:c r="R355" s="9" t="str">
        <x:v>引句后整理</x:v>
      </x:c>
      <x:c r="S355" s="9" t="str">
        <x:v>雅致</x:v>
      </x:c>
      <x:c r="T355" s="9" t="str">
        <x:v>我以茶代酒，心意一样真。</x:v>
      </x:c>
      <x:c r="U355" s="9" t="str">
        <x:v>With tea in my cup and the same warm wishes.</x:v>
      </x:c>
      <x:c r="V355" s="9" t="str">
        <x:v>好的照应，常常是给人一点时间、一点信心。今天借这则旧事谢你的用心，愿往后有机会，也把这份好意传下去。借这则旧事的一句：“譬如芝兰玉树，欲使其生于阶庭耳。”</x:v>
      </x:c>
      <x:c r="W355" s="9" t="str">
        <x:v>好的照应，常常是给人一点时间、一点信心。今天借这则旧事谢你的用心，愿往后有机会，也把这份好意传下去。
《世说新语》里记载：“譬如芝兰玉树，欲使其生于阶庭耳。”这杯把谢意送到，愿善意有回应，来往有温度。</x:v>
      </x:c>
      <x:c r="X355" s="9" t="str">
        <x:v>spoken</x:v>
      </x:c>
      <x:c r="Y355" s="9" t="str">
        <x:v>story-1</x:v>
      </x:c>
      <x:c r="Z355" s="9" t="str"/>
      <x:c r="AA355" s="12" t="str"/>
    </x:row>
    <x:row r="356" ht="42" customHeight="1">
      <x:c r="A356" s="8" t="str">
        <x:v>spoken-thanks-01</x:v>
      </x:c>
      <x:c r="B356" s="10" t="n">
        <x:v>1</x:v>
      </x:c>
      <x:c r="C356" s="8" t="str">
        <x:v>当前推荐</x:v>
      </x:c>
      <x:c r="D356" s="8" t="str">
        <x:v>致谢答谢</x:v>
      </x:c>
      <x:c r="E356" s="8" t="str">
        <x:v>全桌</x:v>
      </x:c>
      <x:c r="F356" s="8" t="str">
        <x:v>这份好意，我记着</x:v>
      </x:c>
      <x:c r="G356" s="8" t="str">
        <x:v>谢谢你的这份好意，我记在心里了。这杯敬你，往后有我能帮上忙的地方，也别跟我客气。</x:v>
      </x:c>
      <x:c r="H356" s="8" t="str">
        <x:v>今天这杯，是想认真跟你说声谢谢。有些话说得简单，心里是记着的。也祝你往后的事顺顺利利，哪天有我能搭把手的地方，尽管招呼。</x:v>
      </x:c>
      <x:c r="I356" s="8" t="str">
        <x:v>Thank you for your kindness. Please know I’d be glad to help when I can.</x:v>
      </x:c>
      <x:c r="J356" s="8" t="str">
        <x:v>谢谢你的好意，有我能帮上忙的时候也请告诉我。</x:v>
      </x:c>
      <x:c r="K356" s="8" t="str">
        <x:v>thanks</x:v>
      </x:c>
      <x:c r="L356" s="8" t="str">
        <x:v>感谢要有落点</x:v>
      </x:c>
      <x:c r="M356" s="8" t="str"/>
      <x:c r="N356" s="8" t="str">
        <x:v>泛指收到好意后致谢；如果愿意，可以当面补一句真实的感谢事项。</x:v>
      </x:c>
      <x:c r="O356" s="8" t="str">
        <x:v>未限定</x:v>
      </x:c>
      <x:c r="P356" s="8" t="str">
        <x:v>未限定</x:v>
      </x:c>
      <x:c r="Q356" s="8" t="str">
        <x:v>未限定</x:v>
      </x:c>
      <x:c r="R356" s="8" t="str">
        <x:v>依据表达方法整理</x:v>
      </x:c>
      <x:c r="S356" s="8" t="str">
        <x:v>雅致</x:v>
      </x:c>
      <x:c r="T356" s="8" t="str">
        <x:v>今天我以茶代酒，认真说声谢谢。</x:v>
      </x:c>
      <x:c r="U356" s="8" t="str">
        <x:v>I’m raising a cup of tea, with the same warm wishes.</x:v>
      </x:c>
      <x:c r="V356" s="8" t="str">
        <x:v>谢谢你的这份好意，我记在心里了。这杯敬你，往后有我能帮上忙的地方，也别跟我客气。</x:v>
      </x:c>
      <x:c r="W356" s="8" t="str">
        <x:v>今天这杯，是想认真跟你说声谢谢。有些话说得简单，心里是记着的。也祝你往后的事顺顺利利，哪天有我能搭把手的地方，尽管招呼。</x:v>
      </x:c>
      <x:c r="X356" s="8" t="str">
        <x:v>spoken</x:v>
      </x:c>
      <x:c r="Y356" s="8" t="str">
        <x:v>plain</x:v>
      </x:c>
      <x:c r="Z356" s="8" t="str"/>
      <x:c r="AA356" s="12" t="str"/>
    </x:row>
    <x:row r="357" ht="42" customHeight="1">
      <x:c r="A357" s="9" t="str">
        <x:v>spoken-thanks-02</x:v>
      </x:c>
      <x:c r="B357" s="11" t="n">
        <x:v>1</x:v>
      </x:c>
      <x:c r="C357" s="9" t="str">
        <x:v>当前推荐</x:v>
      </x:c>
      <x:c r="D357" s="9" t="str">
        <x:v>致谢答谢</x:v>
      </x:c>
      <x:c r="E357" s="9" t="str">
        <x:v>全桌</x:v>
      </x:c>
      <x:c r="F357" s="9" t="str">
        <x:v>好意得好好接住</x:v>
      </x:c>
      <x:c r="G357" s="9" t="str">
        <x:v>这份好意我收到了，也想当面说声谢谢。来，敬你，祝你也常遇到真心待你的人。</x:v>
      </x:c>
      <x:c r="H357" s="9" t="str">
        <x:v>有些好意，不能只在心里觉得感动，还是得当面说声谢谢。今天就借这杯把感谢送给你，愿你往后的日子顺心，也常有人认真接住你的心意。</x:v>
      </x:c>
      <x:c r="I357" s="9" t="str">
        <x:v>Thank you for your thoughtfulness. May you receive the same kindness you give.</x:v>
      </x:c>
      <x:c r="J357" s="9" t="str">
        <x:v>谢谢你的用心，也愿你收到同样的善意。</x:v>
      </x:c>
      <x:c r="K357" s="9" t="str">
        <x:v>thanks</x:v>
      </x:c>
      <x:c r="L357" s="9" t="str">
        <x:v>感谢要有落点</x:v>
      </x:c>
      <x:c r="M357" s="9" t="str"/>
      <x:c r="N357" s="9" t="str">
        <x:v>泛指收到好意后致谢；如果愿意，可以当面补一句真实的感谢事项。</x:v>
      </x:c>
      <x:c r="O357" s="9" t="str">
        <x:v>未限定</x:v>
      </x:c>
      <x:c r="P357" s="9" t="str">
        <x:v>未限定</x:v>
      </x:c>
      <x:c r="Q357" s="9" t="str">
        <x:v>未限定</x:v>
      </x:c>
      <x:c r="R357" s="9" t="str">
        <x:v>依据表达方法整理</x:v>
      </x:c>
      <x:c r="S357" s="9" t="str">
        <x:v>雅致</x:v>
      </x:c>
      <x:c r="T357" s="9" t="str">
        <x:v>我用茶敬这份好意，心里记着。</x:v>
      </x:c>
      <x:c r="U357" s="9" t="str">
        <x:v>I’m raising a cup of tea, with the same warm wishes.</x:v>
      </x:c>
      <x:c r="V357" s="9" t="str">
        <x:v>这份好意我收到了，也想当面说声谢谢。来，敬你，祝你也常遇到真心待你的人。</x:v>
      </x:c>
      <x:c r="W357" s="9" t="str">
        <x:v>有些好意，不能只在心里觉得感动，还是得当面说声谢谢。今天就借这杯把感谢送给你，愿你往后的日子顺心，也常有人认真接住你的心意。</x:v>
      </x:c>
      <x:c r="X357" s="9" t="str">
        <x:v>spoken</x:v>
      </x:c>
      <x:c r="Y357" s="9" t="str">
        <x:v>plain</x:v>
      </x:c>
      <x:c r="Z357" s="9" t="str"/>
      <x:c r="AA357" s="12" t="str"/>
    </x:row>
    <x:row r="358" ht="42" customHeight="1">
      <x:c r="A358" s="8" t="str">
        <x:v>spoken-thanks-03</x:v>
      </x:c>
      <x:c r="B358" s="10" t="n">
        <x:v>1</x:v>
      </x:c>
      <x:c r="C358" s="8" t="str">
        <x:v>当前推荐</x:v>
      </x:c>
      <x:c r="D358" s="8" t="str">
        <x:v>致谢答谢</x:v>
      </x:c>
      <x:c r="E358" s="8" t="str">
        <x:v>全桌</x:v>
      </x:c>
      <x:c r="F358" s="8" t="str">
        <x:v>不说客套话，说句谢谢</x:v>
      </x:c>
      <x:c r="G358" s="8" t="str">
        <x:v>客套话我就不绕了，这杯就是谢谢你。愿你忙的事有结果，惦记的人都平安。</x:v>
      </x:c>
      <x:c r="H358" s="8" t="str">
        <x:v>今天不绕客套话，先把“谢谢”两个字说清楚。你这份好意，我很珍惜。这杯祝你事情顺利，心里安稳，也希望往后的来往，咱们都能真诚一点、轻松一点。</x:v>
      </x:c>
      <x:c r="I358" s="8" t="str">
        <x:v>A simple, sincere thank-you. Wishing you good results and peace of mind.</x:v>
      </x:c>
      <x:c r="J358" s="8" t="str">
        <x:v>真诚说声谢谢，祝你事情有好结果、心里安稳。</x:v>
      </x:c>
      <x:c r="K358" s="8" t="str">
        <x:v>thanks</x:v>
      </x:c>
      <x:c r="L358" s="8" t="str">
        <x:v>感谢要有落点</x:v>
      </x:c>
      <x:c r="M358" s="8" t="str"/>
      <x:c r="N358" s="8" t="str">
        <x:v>泛指收到好意后致谢；如果愿意，可以当面补一句真实的感谢事项。</x:v>
      </x:c>
      <x:c r="O358" s="8" t="str">
        <x:v>未限定</x:v>
      </x:c>
      <x:c r="P358" s="8" t="str">
        <x:v>未限定</x:v>
      </x:c>
      <x:c r="Q358" s="8" t="str">
        <x:v>未限定</x:v>
      </x:c>
      <x:c r="R358" s="8" t="str">
        <x:v>依据表达方法整理</x:v>
      </x:c>
      <x:c r="S358" s="8" t="str">
        <x:v>雅致</x:v>
      </x:c>
      <x:c r="T358" s="8" t="str">
        <x:v>杯里是茶，这份感谢一样。</x:v>
      </x:c>
      <x:c r="U358" s="8" t="str">
        <x:v>I’m raising a cup of tea, with the same warm wishes.</x:v>
      </x:c>
      <x:c r="V358" s="8" t="str">
        <x:v>客套话我就不绕了，这杯就是谢谢你。愿你忙的事有结果，惦记的人都平安。</x:v>
      </x:c>
      <x:c r="W358" s="8" t="str">
        <x:v>今天不绕客套话，先把“谢谢”两个字说清楚。你这份好意，我很珍惜。这杯祝你事情顺利，心里安稳，也希望往后的来往，咱们都能真诚一点、轻松一点。</x:v>
      </x:c>
      <x:c r="X358" s="8" t="str">
        <x:v>spoken</x:v>
      </x:c>
      <x:c r="Y358" s="8" t="str">
        <x:v>plain</x:v>
      </x:c>
      <x:c r="Z358" s="8" t="str"/>
      <x:c r="AA358" s="12" t="str"/>
    </x:row>
    <x:row r="359" ht="42" customHeight="1">
      <x:c r="A359" s="9" t="str">
        <x:v>spoken-thanks-06</x:v>
      </x:c>
      <x:c r="B359" s="11" t="n">
        <x:v>1</x:v>
      </x:c>
      <x:c r="C359" s="9" t="str">
        <x:v>当前推荐</x:v>
      </x:c>
      <x:c r="D359" s="9" t="str">
        <x:v>致谢答谢</x:v>
      </x:c>
      <x:c r="E359" s="9" t="str">
        <x:v>全桌</x:v>
      </x:c>
      <x:c r="F359" s="9" t="str">
        <x:v>遇到善意，是件好事</x:v>
      </x:c>
      <x:c r="G359" s="9" t="str">
        <x:v>借一句“欣于所遇”，谢谢遇到的这份善意。这杯敬你，愿你的好意也常有回应。</x:v>
      </x:c>
      <x:c r="H359" s="9" t="str">
        <x:v>借一句“欣于所遇”，说说我对这份好意的珍惜。生活里能碰到愿意真诚待人的人，是件好事。今天这杯谢谢你，也祝你往后常遇见同样温暖的人。</x:v>
      </x:c>
      <x:c r="I359" s="9" t="str">
        <x:v>I’m grateful for your kindness. May good people and good things come your way too.</x:v>
      </x:c>
      <x:c r="J359" s="9" t="str">
        <x:v>感谢你的好意，也愿你常遇见好人、好事。</x:v>
      </x:c>
      <x:c r="K359" s="9" t="str">
        <x:v>lantingMeet</x:v>
      </x:c>
      <x:c r="L359" s="9" t="str">
        <x:v>欣于所遇，珍惜此刻</x:v>
      </x:c>
      <x:c r="M359" s="9" t="str">
        <x:v>欣于所遇</x:v>
      </x:c>
      <x:c r="N359" s="9" t="str">
        <x:v>泛指收到好意后致谢；如果愿意，可以当面补一句真实的感谢事项。</x:v>
      </x:c>
      <x:c r="O359" s="9" t="str">
        <x:v>未限定</x:v>
      </x:c>
      <x:c r="P359" s="9" t="str">
        <x:v>未限定</x:v>
      </x:c>
      <x:c r="Q359" s="9" t="str">
        <x:v>未限定</x:v>
      </x:c>
      <x:c r="R359" s="9" t="str">
        <x:v>引句后整理</x:v>
      </x:c>
      <x:c r="S359" s="9" t="str">
        <x:v>雅致</x:v>
      </x:c>
      <x:c r="T359" s="9" t="str">
        <x:v>杯里是茶，这份感谢一样。</x:v>
      </x:c>
      <x:c r="U359" s="9" t="str">
        <x:v>I’m raising a cup of tea, with the same warm wishes.</x:v>
      </x:c>
      <x:c r="V359" s="9" t="str">
        <x:v>借一句“欣于所遇”，谢谢遇到的这份善意。这杯敬你，愿你的好意也常有回应。</x:v>
      </x:c>
      <x:c r="W359" s="9" t="str">
        <x:v>借一句“欣于所遇”，说说我对这份好意的珍惜。生活里能碰到愿意真诚待人的人，是件好事。今天这杯谢谢你，也祝你往后常遇见同样温暖的人。</x:v>
      </x:c>
      <x:c r="X359" s="9" t="str">
        <x:v>spoken</x:v>
      </x:c>
      <x:c r="Y359" s="9" t="str">
        <x:v>verse</x:v>
      </x:c>
      <x:c r="Z359" s="9" t="str"/>
      <x:c r="AA359" s="12" t="str"/>
    </x:row>
    <x:row r="360" ht="42" customHeight="1">
      <x:c r="A360" s="8" t="str">
        <x:v>spoken-thanks-07</x:v>
      </x:c>
      <x:c r="B360" s="10" t="n">
        <x:v>1</x:v>
      </x:c>
      <x:c r="C360" s="8" t="str">
        <x:v>当前推荐</x:v>
      </x:c>
      <x:c r="D360" s="8" t="str">
        <x:v>致谢答谢</x:v>
      </x:c>
      <x:c r="E360" s="8" t="str">
        <x:v>全桌</x:v>
      </x:c>
      <x:c r="F360" s="8" t="str">
        <x:v>谢谢不能只发个表情</x:v>
      </x:c>
      <x:c r="G360" s="8" t="str">
        <x:v>谢谢不能只发个表情，今天得当面说。这杯敬你，祝你顺心的事多，操心的事少。</x:v>
      </x:c>
      <x:c r="H360" s="8" t="str">
        <x:v>要是只在手机上说谢谢，我可能又发个表情就过去了。今天见着面，得认真一点：谢谢你，这份心意我记着。来，也祝你顺心的事多一点，操心的事少一点。</x:v>
      </x:c>
      <x:c r="I360" s="8" t="str">
        <x:v>An emoji wouldn’t be enough today. Thank you, sincerely, and cheers to good days ahead.</x:v>
      </x:c>
      <x:c r="J360" s="8" t="str">
        <x:v>今天一个表情可不够，要认真谢谢你，也祝往后日子顺心。</x:v>
      </x:c>
      <x:c r="K360" s="8" t="str">
        <x:v>thanks</x:v>
      </x:c>
      <x:c r="L360" s="8" t="str">
        <x:v>感谢要有落点</x:v>
      </x:c>
      <x:c r="M360" s="8" t="str"/>
      <x:c r="N360" s="8" t="str">
        <x:v>泛指收到好意后致谢；如果愿意，可以当面补一句真实的感谢事项。</x:v>
      </x:c>
      <x:c r="O360" s="8" t="str">
        <x:v>未限定</x:v>
      </x:c>
      <x:c r="P360" s="8" t="str">
        <x:v>未限定</x:v>
      </x:c>
      <x:c r="Q360" s="8" t="str">
        <x:v>未限定</x:v>
      </x:c>
      <x:c r="R360" s="8" t="str">
        <x:v>依据表达方法整理</x:v>
      </x:c>
      <x:c r="S360" s="8" t="str">
        <x:v>诙谐</x:v>
      </x:c>
      <x:c r="T360" s="8" t="str">
        <x:v>今天我以茶代酒，认真说声谢谢。</x:v>
      </x:c>
      <x:c r="U360" s="8" t="str">
        <x:v>I’m raising a cup of tea, with the same warm wishes.</x:v>
      </x:c>
      <x:c r="V360" s="8" t="str">
        <x:v>谢谢不能只发个表情，今天得当面说。这杯敬你，祝你顺心的事多，操心的事少。</x:v>
      </x:c>
      <x:c r="W360" s="8" t="str">
        <x:v>要是只在手机上说谢谢，我可能又发个表情就过去了。今天见着面，得认真一点：谢谢你，这份心意我记着。来，也祝你顺心的事多一点，操心的事少一点。</x:v>
      </x:c>
      <x:c r="X360" s="8" t="str">
        <x:v>spoken</x:v>
      </x:c>
      <x:c r="Y360" s="8" t="str">
        <x:v>fun</x:v>
      </x:c>
      <x:c r="Z360" s="8" t="str"/>
      <x:c r="AA360" s="12" t="str"/>
    </x:row>
    <x:row r="361" ht="42" customHeight="1">
      <x:c r="A361" s="9" t="str">
        <x:v>spoken-thanks-08</x:v>
      </x:c>
      <x:c r="B361" s="11" t="n">
        <x:v>1</x:v>
      </x:c>
      <x:c r="C361" s="9" t="str">
        <x:v>当前推荐</x:v>
      </x:c>
      <x:c r="D361" s="9" t="str">
        <x:v>致谢答谢</x:v>
      </x:c>
      <x:c r="E361" s="9" t="str">
        <x:v>全桌</x:v>
      </x:c>
      <x:c r="F361" s="9" t="str">
        <x:v>心意不走过场</x:v>
      </x:c>
      <x:c r="G361" s="9" t="str">
        <x:v>今天这杯不能走过场，得认真谢谢你。好话我不凑一大段，真心这一句就够。</x:v>
      </x:c>
      <x:c r="H361" s="9" t="str">
        <x:v>有些谢谢，说得越绕反而越像客气。今天我不凑长篇了，就认真敬你一杯。祝你手头的事顺，生活里的乐子多，这份心意我也会好好记着。</x:v>
      </x:c>
      <x:c r="I361" s="9" t="str">
        <x:v>No long speech today—just a heartfelt thank-you and warm wishes for you.</x:v>
      </x:c>
      <x:c r="J361" s="9" t="str">
        <x:v>今天不说长篇，只真心道谢，也把祝福送给你。</x:v>
      </x:c>
      <x:c r="K361" s="9" t="str">
        <x:v>thanks</x:v>
      </x:c>
      <x:c r="L361" s="9" t="str">
        <x:v>感谢要有落点</x:v>
      </x:c>
      <x:c r="M361" s="9" t="str"/>
      <x:c r="N361" s="9" t="str">
        <x:v>泛指收到好意后致谢；如果愿意，可以当面补一句真实的感谢事项。</x:v>
      </x:c>
      <x:c r="O361" s="9" t="str">
        <x:v>未限定</x:v>
      </x:c>
      <x:c r="P361" s="9" t="str">
        <x:v>未限定</x:v>
      </x:c>
      <x:c r="Q361" s="9" t="str">
        <x:v>未限定</x:v>
      </x:c>
      <x:c r="R361" s="9" t="str">
        <x:v>依据表达方法整理</x:v>
      </x:c>
      <x:c r="S361" s="9" t="str">
        <x:v>诙谐</x:v>
      </x:c>
      <x:c r="T361" s="9" t="str">
        <x:v>我用茶敬这份好意，心里记着。</x:v>
      </x:c>
      <x:c r="U361" s="9" t="str">
        <x:v>I’m raising a cup of tea, with the same warm wishes.</x:v>
      </x:c>
      <x:c r="V361" s="9" t="str">
        <x:v>今天这杯不能走过场，得认真谢谢你。好话我不凑一大段，真心这一句就够。</x:v>
      </x:c>
      <x:c r="W361" s="9" t="str">
        <x:v>有些谢谢，说得越绕反而越像客气。今天我不凑长篇了，就认真敬你一杯。祝你手头的事顺，生活里的乐子多，这份心意我也会好好记着。</x:v>
      </x:c>
      <x:c r="X361" s="9" t="str">
        <x:v>spoken</x:v>
      </x:c>
      <x:c r="Y361" s="9" t="str">
        <x:v>fun</x:v>
      </x:c>
      <x:c r="Z361" s="9" t="str"/>
      <x:c r="AA361" s="12" t="str"/>
    </x:row>
    <x:row r="362" ht="42" customHeight="1">
      <x:c r="A362" s="8" t="str">
        <x:v>spoken-thanks-09</x:v>
      </x:c>
      <x:c r="B362" s="10" t="n">
        <x:v>1</x:v>
      </x:c>
      <x:c r="C362" s="8" t="str">
        <x:v>当前推荐</x:v>
      </x:c>
      <x:c r="D362" s="8" t="str">
        <x:v>致谢答谢</x:v>
      </x:c>
      <x:c r="E362" s="8" t="str">
        <x:v>全桌</x:v>
      </x:c>
      <x:c r="F362" s="8" t="str">
        <x:v>你的用心，我看见了</x:v>
      </x:c>
      <x:c r="G362" s="8" t="str">
        <x:v>谢谢你这份用心，我很珍惜。今天借这杯敬你，也祝你常有被人好好对待的时候。</x:v>
      </x:c>
      <x:c r="H362" s="8" t="str">
        <x:v>今天最想说的，是你的这份用心我收到了，也很珍惜。这杯好好谢谢你，愿你往后的事顺，身边的人也都真诚，付出的善意常能收到回应。</x:v>
      </x:c>
      <x:c r="I362" s="8" t="str">
        <x:v>I appreciate your thoughtfulness. May you be treated with the same care.</x:v>
      </x:c>
      <x:c r="J362" s="8" t="str">
        <x:v>谢谢你的用心，也愿你被同样认真地对待。</x:v>
      </x:c>
      <x:c r="K362" s="8" t="str">
        <x:v>thanks</x:v>
      </x:c>
      <x:c r="L362" s="8" t="str">
        <x:v>感谢要有落点</x:v>
      </x:c>
      <x:c r="M362" s="8" t="str"/>
      <x:c r="N362" s="8" t="str">
        <x:v>泛指收到好意后致谢；如果愿意，可以当面补一句真实的感谢事项。</x:v>
      </x:c>
      <x:c r="O362" s="8" t="str">
        <x:v>未限定</x:v>
      </x:c>
      <x:c r="P362" s="8" t="str">
        <x:v>未限定</x:v>
      </x:c>
      <x:c r="Q362" s="8" t="str">
        <x:v>未限定</x:v>
      </x:c>
      <x:c r="R362" s="8" t="str">
        <x:v>依据表达方法整理</x:v>
      </x:c>
      <x:c r="S362" s="8" t="str">
        <x:v>雅致</x:v>
      </x:c>
      <x:c r="T362" s="8" t="str">
        <x:v>杯里是茶，这份感谢一样。</x:v>
      </x:c>
      <x:c r="U362" s="8" t="str">
        <x:v>I’m raising a cup of tea, with the same warm wishes.</x:v>
      </x:c>
      <x:c r="V362" s="8" t="str">
        <x:v>谢谢你这份用心，我很珍惜。今天借这杯敬你，也祝你常有被人好好对待的时候。</x:v>
      </x:c>
      <x:c r="W362" s="8" t="str">
        <x:v>今天最想说的，是你的这份用心我收到了，也很珍惜。这杯好好谢谢你，愿你往后的事顺，身边的人也都真诚，付出的善意常能收到回应。</x:v>
      </x:c>
      <x:c r="X362" s="8" t="str">
        <x:v>spoken</x:v>
      </x:c>
      <x:c r="Y362" s="8" t="str">
        <x:v>plain</x:v>
      </x:c>
      <x:c r="Z362" s="8" t="str"/>
      <x:c r="AA362" s="12" t="str"/>
    </x:row>
    <x:row r="363" ht="42" customHeight="1">
      <x:c r="A363" s="9" t="str">
        <x:v>spoken-thanks-11</x:v>
      </x:c>
      <x:c r="B363" s="11" t="n">
        <x:v>1</x:v>
      </x:c>
      <x:c r="C363" s="9" t="str">
        <x:v>当前推荐</x:v>
      </x:c>
      <x:c r="D363" s="9" t="str">
        <x:v>致谢答谢</x:v>
      </x:c>
      <x:c r="E363" s="9" t="str">
        <x:v>全桌</x:v>
      </x:c>
      <x:c r="F363" s="9" t="str">
        <x:v>这句谢谢，不能省略</x:v>
      </x:c>
      <x:c r="G363" s="9" t="str">
        <x:v>有些话可以省略，这句谢谢可不能。来，敬你一杯，祝你工作顺、心情好。</x:v>
      </x:c>
      <x:c r="H363" s="9" t="str">
        <x:v>今天这杯，我就把谢谢两个字放前面。你的好意不能让它悄悄过去，我得当面认真说到。来，祝你工作顺、心情好，往后常有值得高兴的事。</x:v>
      </x:c>
      <x:c r="I363" s="9" t="str">
        <x:v>Some words can be skipped; this thank-you can’t. Warm wishes to you.</x:v>
      </x:c>
      <x:c r="J363" s="9" t="str">
        <x:v>有些话能省，这句谢谢不能省，祝你一切顺心。</x:v>
      </x:c>
      <x:c r="K363" s="9" t="str">
        <x:v>thanks</x:v>
      </x:c>
      <x:c r="L363" s="9" t="str">
        <x:v>感谢要有落点</x:v>
      </x:c>
      <x:c r="M363" s="9" t="str"/>
      <x:c r="N363" s="9" t="str">
        <x:v>泛指收到好意后致谢；如果愿意，可以当面补一句真实的感谢事项。</x:v>
      </x:c>
      <x:c r="O363" s="9" t="str">
        <x:v>未限定</x:v>
      </x:c>
      <x:c r="P363" s="9" t="str">
        <x:v>未限定</x:v>
      </x:c>
      <x:c r="Q363" s="9" t="str">
        <x:v>未限定</x:v>
      </x:c>
      <x:c r="R363" s="9" t="str">
        <x:v>依据表达方法整理</x:v>
      </x:c>
      <x:c r="S363" s="9" t="str">
        <x:v>诙谐</x:v>
      </x:c>
      <x:c r="T363" s="9" t="str">
        <x:v>我用茶敬这份好意，心里记着。</x:v>
      </x:c>
      <x:c r="U363" s="9" t="str">
        <x:v>I’m raising a cup of tea, with the same warm wishes.</x:v>
      </x:c>
      <x:c r="V363" s="9" t="str">
        <x:v>有些话可以省略，这句谢谢可不能。来，敬你一杯，祝你工作顺、心情好。</x:v>
      </x:c>
      <x:c r="W363" s="9" t="str">
        <x:v>今天这杯，我就把谢谢两个字放前面。你的好意不能让它悄悄过去，我得当面认真说到。来，祝你工作顺、心情好，往后常有值得高兴的事。</x:v>
      </x:c>
      <x:c r="X363" s="9" t="str">
        <x:v>spoken</x:v>
      </x:c>
      <x:c r="Y363" s="9" t="str">
        <x:v>fun</x:v>
      </x:c>
      <x:c r="Z363" s="9" t="str"/>
      <x:c r="AA363" s="12" t="str"/>
    </x:row>
    <x:row r="364" ht="42" customHeight="1">
      <x:c r="A364" s="8" t="str">
        <x:v>spoken-thanks-12</x:v>
      </x:c>
      <x:c r="B364" s="10" t="n">
        <x:v>1</x:v>
      </x:c>
      <x:c r="C364" s="8" t="str">
        <x:v>当前推荐</x:v>
      </x:c>
      <x:c r="D364" s="8" t="str">
        <x:v>致谢答谢</x:v>
      </x:c>
      <x:c r="E364" s="8" t="str">
        <x:v>全桌</x:v>
      </x:c>
      <x:c r="F364" s="8" t="str">
        <x:v>把谢谢说得响一点</x:v>
      </x:c>
      <x:c r="G364" s="8" t="str">
        <x:v>平时说谢谢容易一带而过，今天我得说得认真一点。这杯敬你，愿好事常找你。</x:v>
      </x:c>
      <x:c r="H364" s="8" t="str">
        <x:v>平时一句谢谢，很容易说完就忙别的去了。今天坐到一起，我得把心意说得认真一点。来，敬你，祝你手里的事情好办，生活里的开心常有。</x:v>
      </x:c>
      <x:c r="I364" s="8" t="str">
        <x:v>Today I want to say thank you properly. May good things keep coming your way.</x:v>
      </x:c>
      <x:c r="J364" s="8" t="str">
        <x:v>今天想认真谢谢你，也愿好事常来。</x:v>
      </x:c>
      <x:c r="K364" s="8" t="str">
        <x:v>thanks</x:v>
      </x:c>
      <x:c r="L364" s="8" t="str">
        <x:v>感谢要有落点</x:v>
      </x:c>
      <x:c r="M364" s="8" t="str"/>
      <x:c r="N364" s="8" t="str">
        <x:v>泛指收到好意后致谢；如果愿意，可以当面补一句真实的感谢事项。</x:v>
      </x:c>
      <x:c r="O364" s="8" t="str">
        <x:v>未限定</x:v>
      </x:c>
      <x:c r="P364" s="8" t="str">
        <x:v>未限定</x:v>
      </x:c>
      <x:c r="Q364" s="8" t="str">
        <x:v>未限定</x:v>
      </x:c>
      <x:c r="R364" s="8" t="str">
        <x:v>依据表达方法整理</x:v>
      </x:c>
      <x:c r="S364" s="8" t="str">
        <x:v>诙谐</x:v>
      </x:c>
      <x:c r="T364" s="8" t="str">
        <x:v>杯里是茶，这份感谢一样。</x:v>
      </x:c>
      <x:c r="U364" s="8" t="str">
        <x:v>I’m raising a cup of tea, with the same warm wishes.</x:v>
      </x:c>
      <x:c r="V364" s="8" t="str">
        <x:v>平时说谢谢容易一带而过，今天我得说得认真一点。这杯敬你，愿好事常找你。</x:v>
      </x:c>
      <x:c r="W364" s="8" t="str">
        <x:v>平时一句谢谢，很容易说完就忙别的去了。今天坐到一起，我得把心意说得认真一点。来，敬你，祝你手里的事情好办，生活里的开心常有。</x:v>
      </x:c>
      <x:c r="X364" s="8" t="str">
        <x:v>spoken</x:v>
      </x:c>
      <x:c r="Y364" s="8" t="str">
        <x:v>fun</x:v>
      </x:c>
      <x:c r="Z364" s="8" t="str"/>
      <x:c r="AA364" s="12" t="str"/>
    </x:row>
    <x:row r="365" ht="57" customHeight="1">
      <x:c r="A365" s="9" t="str">
        <x:v>thanks-01</x:v>
      </x:c>
      <x:c r="B365" s="11" t="n">
        <x:v>1</x:v>
      </x:c>
      <x:c r="C365" s="9" t="str">
        <x:v>当前推荐</x:v>
      </x:c>
      <x:c r="D365" s="9" t="str">
        <x:v>致谢答谢</x:v>
      </x:c>
      <x:c r="E365" s="9" t="str">
        <x:v>全桌</x:v>
      </x:c>
      <x:c r="F365" s="9" t="str">
        <x:v>情意有回响</x:v>
      </x:c>
      <x:c r="G365" s="9" t="str">
        <x:v>承一份好意，还一份真诚；借这一杯致谢，愿往来皆有回响。
借这一杯，敬大家。</x:v>
      </x:c>
      <x:c r="H365" s="9" t="str">
        <x:v>有些心意，值得认真接住，也值得好好道谢。今天借这一杯，表达我的感谢。愿这一席的情意不只停在杯中，往后的来往，也有照应、有回响。
借这一杯，敬大家。</x:v>
      </x:c>
      <x:c r="I365" s="9" t="str">
        <x:v>Thank you for your kindness. May we have many chances to return it.</x:v>
      </x:c>
      <x:c r="J365" s="9" t="str">
        <x:v>感谢这份好意，也盼以后有机会回应。</x:v>
      </x:c>
      <x:c r="K365" s="9" t="str">
        <x:v>thanks</x:v>
      </x:c>
      <x:c r="L365" s="9" t="str">
        <x:v>感谢要有落点</x:v>
      </x:c>
      <x:c r="M365" s="9" t="str"/>
      <x:c r="N365" s="9" t="str">
        <x:v>具体帮助可当场补一句真实事项，不自动编造。</x:v>
      </x:c>
      <x:c r="O365" s="9" t="str">
        <x:v>未限定</x:v>
      </x:c>
      <x:c r="P365" s="9" t="str">
        <x:v>未限定</x:v>
      </x:c>
      <x:c r="Q365" s="9" t="str">
        <x:v>未限定</x:v>
      </x:c>
      <x:c r="R365" s="9" t="str">
        <x:v>依据表达方法整理</x:v>
      </x:c>
      <x:c r="S365" s="9" t="str">
        <x:v>雅致</x:v>
      </x:c>
      <x:c r="T365" s="9" t="str"/>
      <x:c r="U365" s="9" t="str"/>
      <x:c r="V365" s="9" t="str">
        <x:v>承一份好意，还一份真诚；借这一杯致谢，愿往来皆有回响。</x:v>
      </x:c>
      <x:c r="W365" s="9" t="str">
        <x:v>有些心意，值得认真接住，也值得好好道谢。今天借这一杯，表达我的感谢。愿这一席的情意不只停在杯中，往后的来往，也有照应、有回响。</x:v>
      </x:c>
      <x:c r="X365" s="9" t="str"/>
      <x:c r="Y365" s="9" t="str"/>
      <x:c r="Z365" s="9" t="str"/>
      <x:c r="AA365" s="12" t="str"/>
    </x:row>
    <x:row r="366" ht="57" customHeight="1">
      <x:c r="A366" s="8" t="str">
        <x:v>verse-cha-stars-thanks</x:v>
      </x:c>
      <x:c r="B366" s="10" t="n">
        <x:v>1</x:v>
      </x:c>
      <x:c r="C366" s="8" t="str">
        <x:v>当前推荐</x:v>
      </x:c>
      <x:c r="D366" s="8" t="str">
        <x:v>致谢答谢</x:v>
      </x:c>
      <x:c r="E366" s="8" t="str">
        <x:v>全桌</x:v>
      </x:c>
      <x:c r="F366" s="8" t="str">
        <x:v>一点善意，也能亮很久</x:v>
      </x:c>
      <x:c r="G366" s="8" t="str">
        <x:v>“微微风簇浪，散作满河星。”一点灯光，能照出满河星意；一份善意，也能让人记很久。今天这杯，认真谢谢你。</x:v>
      </x:c>
      <x:c r="H366" s="8" t="str">
        <x:v>查慎行写“微微风簇浪，散作满河星”，小小灯光，也能照出动人的景致。今天借这句说声谢谢：有些好意，未必要多大，却能让人心里亮很久。这杯敬你，愿你的认真也常被人看见，你的善意也常有人回应。</x:v>
      </x:c>
      <x:c r="I366" s="8" t="str">
        <x:v>Thank you for a kindness that stays with me. May your care be noticed and warmly returned.</x:v>
      </x:c>
      <x:c r="J366" s="8" t="str">
        <x:v>谢谢这份会记在心里的好意，也愿你的用心被看见、被回应。</x:v>
      </x:c>
      <x:c r="K366" s="8" t="str">
        <x:v>poem-cha-stars</x:v>
      </x:c>
      <x:c r="L366" s="8" t="str">
        <x:v>查慎行《舟夜书所见》</x:v>
      </x:c>
      <x:c r="M366" s="8" t="str">
        <x:v>微微风簇浪，散作满河星。</x:v>
      </x:c>
      <x:c r="N366" s="8" t="str">
        <x:v>诗里渔灯倒影被水波散作星点，并非满河真有星；借细小善意使相聚发亮。</x:v>
      </x:c>
      <x:c r="O366" s="8" t="str">
        <x:v>夜晚小酌、月色入杯</x:v>
      </x:c>
      <x:c r="P366" s="8" t="str">
        <x:v>未限定</x:v>
      </x:c>
      <x:c r="Q366" s="8" t="str">
        <x:v>未限定</x:v>
      </x:c>
      <x:c r="R366" s="8" t="str">
        <x:v>引句后整理</x:v>
      </x:c>
      <x:c r="S366" s="8" t="str">
        <x:v>雅致</x:v>
      </x:c>
      <x:c r="T366" s="8" t="str">
        <x:v>我以茶代酒，心意一样。</x:v>
      </x:c>
      <x:c r="U366" s="8" t="str">
        <x:v>With tea in my cup and the same warm wishes.</x:v>
      </x:c>
      <x:c r="V366" s="8" t="str">
        <x:v>“微微风簇浪，散作满河星。”一点灯光，能照出满河星意；一份善意，也能让人记很久。今天这杯，认真谢谢你。</x:v>
      </x:c>
      <x:c r="W366" s="8" t="str">
        <x:v>查慎行写“微微风簇浪，散作满河星”，小小灯光，也能照出动人的景致。今天借这句说声谢谢：有些好意，未必要多大，却能让人心里亮很久。这杯敬你，愿你的认真也常被人看见，你的善意也常有人回应。</x:v>
      </x:c>
      <x:c r="X366" s="8" t="str">
        <x:v>spoken</x:v>
      </x:c>
      <x:c r="Y366" s="8" t="str">
        <x:v>verse</x:v>
      </x:c>
      <x:c r="Z366" s="8" t="str"/>
      <x:c r="AA366" s="12" t="str"/>
    </x:row>
    <x:row r="367" ht="57" customHeight="1">
      <x:c r="A367" s="9" t="str">
        <x:v>verse-qian-tea-thanks</x:v>
      </x:c>
      <x:c r="B367" s="11" t="n">
        <x:v>1</x:v>
      </x:c>
      <x:c r="C367" s="9" t="str">
        <x:v>当前推荐</x:v>
      </x:c>
      <x:c r="D367" s="9" t="str">
        <x:v>致谢答谢</x:v>
      </x:c>
      <x:c r="E367" s="9" t="str">
        <x:v>全桌</x:v>
      </x:c>
      <x:c r="F367" s="9" t="str">
        <x:v>谢这份相待，不论杯中物</x:v>
      </x:c>
      <x:c r="G367" s="9" t="str">
        <x:v>“竹下忘言对紫茶，全胜羽客醉流霞。”古人以茶相聚，也能心满意足。今天不论杯里是什么，这声谢谢都认真：愿你的用心常有回响。</x:v>
      </x:c>
      <x:c r="H367" s="9" t="str">
        <x:v>“竹下忘言对紫茶，全胜羽客醉流霞。”钱起写茶宴，杯里不必是酒，也能尽得相聚的兴味。今天我也借这一杯认真说声谢谢。好意不在东西轻重，贵在愿意把人放在心上；愿你往后的日子，也常遇到真诚相待的人。</x:v>
      </x:c>
      <x:c r="I367" s="9" t="str">
        <x:v>Thank you for treating me with care. Whatever is in the cup, the gratitude is sincere.</x:v>
      </x:c>
      <x:c r="J367" s="9" t="str">
        <x:v>谢谢这份认真相待，杯中无论是什么，感谢都真诚。</x:v>
      </x:c>
      <x:c r="K367" s="9" t="str">
        <x:v>poem-qian-tea</x:v>
      </x:c>
      <x:c r="L367" s="9" t="str">
        <x:v>钱起《与赵莒茶宴》</x:v>
      </x:c>
      <x:c r="M367" s="9" t="str">
        <x:v>竹下忘言对紫茶，全胜羽客醉流霞。</x:v>
      </x:c>
      <x:c r="N367" s="9" t="str">
        <x:v>流霞是传说中的仙酒；取茶席有清趣，不作饮品功效比较。 原诗写茶宴的清趣；取以茶相聚也能有兴致，不比较饮品高低，也不声称有仙人。</x:v>
      </x:c>
      <x:c r="O367" s="9" t="str">
        <x:v>邀饮待客、好友知己</x:v>
      </x:c>
      <x:c r="P367" s="9" t="str">
        <x:v>未限定</x:v>
      </x:c>
      <x:c r="Q367" s="9" t="str">
        <x:v>未限定</x:v>
      </x:c>
      <x:c r="R367" s="9" t="str">
        <x:v>引句后整理</x:v>
      </x:c>
      <x:c r="S367" s="9" t="str">
        <x:v>雅致</x:v>
      </x:c>
      <x:c r="T367" s="9" t="str">
        <x:v>我以茶代酒，心意一样。</x:v>
      </x:c>
      <x:c r="U367" s="9" t="str">
        <x:v>With tea in my cup and the same warm wishes.</x:v>
      </x:c>
      <x:c r="V367" s="9" t="str">
        <x:v>“竹下忘言对紫茶，全胜羽客醉流霞。”古人以茶相聚，也能心满意足。今天不论杯里是什么，这声谢谢都认真：愿你的用心常有回响。</x:v>
      </x:c>
      <x:c r="W367" s="9" t="str">
        <x:v>“竹下忘言对紫茶，全胜羽客醉流霞。”钱起写茶宴，杯里不必是酒，也能尽得相聚的兴味。今天我也借这一杯认真说声谢谢。好意不在东西轻重，贵在愿意把人放在心上；愿你往后的日子，也常遇到真诚相待的人。</x:v>
      </x:c>
      <x:c r="X367" s="9" t="str">
        <x:v>spoken</x:v>
      </x:c>
      <x:c r="Y367" s="9" t="str">
        <x:v>verse</x:v>
      </x:c>
      <x:c r="Z367" s="9" t="str"/>
      <x:c r="AA367" s="12" t="str"/>
    </x:row>
    <x:row r="368" ht="57" customHeight="1">
      <x:c r="A368" s="8" t="str">
        <x:v>verse-wei-kindness</x:v>
      </x:c>
      <x:c r="B368" s="10" t="n">
        <x:v>1</x:v>
      </x:c>
      <x:c r="C368" s="8" t="str">
        <x:v>当前推荐</x:v>
      </x:c>
      <x:c r="D368" s="8" t="str">
        <x:v>致谢答谢</x:v>
      </x:c>
      <x:c r="E368" s="8" t="str">
        <x:v>全桌</x:v>
      </x:c>
      <x:c r="F368" s="8" t="str">
        <x:v>有人记挂，比热闹难得</x:v>
      </x:c>
      <x:c r="G368" s="8" t="str">
        <x:v>“欲持一瓢酒，远慰风雨夕。”有时难得的不是一杯酒，是有人愿意记挂你。今天这杯，谢谢这份好意，愿你的用心也常被人放在心上。</x:v>
      </x:c>
      <x:c r="H368" s="8" t="str">
        <x:v>韦应物写“欲持一瓢酒，远慰风雨夕”，动人的地方，是心里忽然想起了一个人。今天借这句认真说声谢谢：被人惦记、被人好好对待，是很暖的事。这杯敬这份好意，也祝你往后的日子，常遇见愿意关心你的人。</x:v>
      </x:c>
      <x:c r="I368" s="8" t="str">
        <x:v>Thank you for thinking of me. May the kindness you offer return to you through people who care.</x:v>
      </x:c>
      <x:c r="J368" s="8" t="str">
        <x:v>谢谢惦记，也愿你的善意常得到关心与回应。</x:v>
      </x:c>
      <x:c r="K368" s="8" t="str">
        <x:v>poem-wei-kindness</x:v>
      </x:c>
      <x:c r="L368" s="8" t="str">
        <x:v>韦应物《寄全椒山中道士》</x:v>
      </x:c>
      <x:c r="M368" s="8" t="str">
        <x:v>欲持一瓢酒，远慰风雨夕。</x:v>
      </x:c>
      <x:c r="N368" s="8" t="str">
        <x:v>原诗惦念山中友人，想携酒慰问；借牵挂与关心，不判断对方正遇困境或把酒当疗愈。</x:v>
      </x:c>
      <x:c r="O368" s="8" t="str">
        <x:v>邀饮待客、好友知己、夜晚小酌</x:v>
      </x:c>
      <x:c r="P368" s="8" t="str">
        <x:v>未限定</x:v>
      </x:c>
      <x:c r="Q368" s="8" t="str">
        <x:v>未限定</x:v>
      </x:c>
      <x:c r="R368" s="8" t="str">
        <x:v>引句后整理</x:v>
      </x:c>
      <x:c r="S368" s="8" t="str">
        <x:v>雅致</x:v>
      </x:c>
      <x:c r="T368" s="8" t="str">
        <x:v>我以茶代酒，心意一样。</x:v>
      </x:c>
      <x:c r="U368" s="8" t="str">
        <x:v>With tea in my cup and the same warm wishes.</x:v>
      </x:c>
      <x:c r="V368" s="8" t="str">
        <x:v>“欲持一瓢酒，远慰风雨夕。”有时难得的不是一杯酒，是有人愿意记挂你。今天这杯，谢谢这份好意，愿你的用心也常被人放在心上。</x:v>
      </x:c>
      <x:c r="W368" s="8" t="str">
        <x:v>韦应物写“欲持一瓢酒，远慰风雨夕”，动人的地方，是心里忽然想起了一个人。今天借这句认真说声谢谢：被人惦记、被人好好对待，是很暖的事。这杯敬这份好意，也祝你往后的日子，常遇见愿意关心你的人。</x:v>
      </x:c>
      <x:c r="X368" s="8" t="str">
        <x:v>spoken</x:v>
      </x:c>
      <x:c r="Y368" s="8" t="str">
        <x:v>verse</x:v>
      </x:c>
      <x:c r="Z368" s="8" t="str"/>
      <x:c r="AA368" s="12" t="str"/>
    </x:row>
    <x:row r="369" ht="57" customHeight="1">
      <x:c r="A369" s="9" t="str">
        <x:v>culture-leader-01</x:v>
      </x:c>
      <x:c r="B369" s="11" t="n">
        <x:v>1</x:v>
      </x:c>
      <x:c r="C369" s="9" t="str">
        <x:v>当前推荐</x:v>
      </x:c>
      <x:c r="D369" s="9" t="str">
        <x:v>领导同事</x:v>
      </x:c>
      <x:c r="E369" s="9" t="str">
        <x:v>领导</x:v>
      </x:c>
      <x:c r="F369" s="9" t="str">
        <x:v>敬意入杯，用心入事</x:v>
      </x:c>
      <x:c r="G369" s="9" t="str">
        <x:v>杯中敬您，心中自勉；多学一分见识，多尽一分心力。祝您忙有所获，闲有所乐，事做得顺，日子也过得舒心。</x:v>
      </x:c>
      <x:c r="H369" s="9" t="str">
        <x:v>杯中敬您，心中自勉；多学一分见识，多尽一分心力。今天借这一杯，向您致意，也提醒自己把事做细、把话说真。祝您忙有所获，闲有所乐；手头的事顺心，生活里的好时光也别错过。</x:v>
      </x:c>
      <x:c r="I369" s="9" t="str">
        <x:v>With sincere respect. May your work be rewarding and your time away from it happy too.</x:v>
      </x:c>
      <x:c r="J369" s="9" t="str">
        <x:v>致以敬意，愿工作有收获，生活也有欢喜。</x:v>
      </x:c>
      <x:c r="K369" s="9" t="str">
        <x:v>rhythm</x:v>
      </x:c>
      <x:c r="L369" s="9" t="str">
        <x:v>把话写给耳朵听</x:v>
      </x:c>
      <x:c r="M369" s="9" t="str"/>
      <x:c r="N369" s="9" t="str">
        <x:v>原创对偶稿；敬意后接实在关心，不编造提携经历。</x:v>
      </x:c>
      <x:c r="O369" s="9" t="str">
        <x:v>未限定</x:v>
      </x:c>
      <x:c r="P369" s="9" t="str">
        <x:v>未限定</x:v>
      </x:c>
      <x:c r="Q369" s="9" t="str">
        <x:v>未限定</x:v>
      </x:c>
      <x:c r="R369" s="9" t="str">
        <x:v>依据表达方法整理</x:v>
      </x:c>
      <x:c r="S369" s="9" t="str">
        <x:v>雅致</x:v>
      </x:c>
      <x:c r="T369" s="9" t="str">
        <x:v>今天以茶代酒，心意一样真。</x:v>
      </x:c>
      <x:c r="U369" s="9" t="str">
        <x:v>With tea in my cup and the same warm wishes.</x:v>
      </x:c>
      <x:c r="V369" s="9" t="str">
        <x:v>杯中敬您，心中自勉；多学一分见识，多尽一分心力。祝您忙有所获，闲有所乐，事做得顺，日子也过得舒心。</x:v>
      </x:c>
      <x:c r="W369" s="9" t="str">
        <x:v>杯中敬您，心中自勉；多学一分见识，多尽一分心力。今天借这一杯，向您致意，也提醒自己把事做细、把话说真。祝您忙有所获，闲有所乐；手头的事顺心，生活里的好时光也别错过。</x:v>
      </x:c>
      <x:c r="X369" s="9" t="str">
        <x:v>spoken</x:v>
      </x:c>
      <x:c r="Y369" s="9" t="str">
        <x:v>rhymed</x:v>
      </x:c>
      <x:c r="Z369" s="9" t="str"/>
      <x:c r="AA369" s="12" t="str"/>
    </x:row>
    <x:row r="370" ht="57" customHeight="1">
      <x:c r="A370" s="8" t="str">
        <x:v>r04-shi-637-1</x:v>
      </x:c>
      <x:c r="B370" s="10" t="n">
        <x:v>1</x:v>
      </x:c>
      <x:c r="C370" s="8" t="str">
        <x:v>当前推荐</x:v>
      </x:c>
      <x:c r="D370" s="8" t="str">
        <x:v>领导同事</x:v>
      </x:c>
      <x:c r="E370" s="8" t="str">
        <x:v>领导</x:v>
      </x:c>
      <x:c r="F370" s="8" t="str">
        <x:v>问明白再做好</x:v>
      </x:c>
      <x:c r="G370" s="8" t="str">
        <x:v>借《诗经》的一句：“周爰咨询。”古人做事也要多问、多听。这杯向您致意，也提醒自己：把不懂的问明白，把答应的做好。</x:v>
      </x:c>
      <x:c r="H370" s="8" t="str">
        <x:v>借《诗经》的一句：“周爰咨询。”古人做事也要多问、多听。这杯向您致意，也提醒自己：把不懂的问明白，把答应的做好。
这杯敬您，愿忙有所成，闲有所乐。</x:v>
      </x:c>
      <x:c r="I370" s="8" t="str">
        <x:v>To asking honest questions and turning good advice into action.</x:v>
      </x:c>
      <x:c r="J370" s="8" t="str">
        <x:v>愿坦诚请教，也把好建议落到行动上。</x:v>
      </x:c>
      <x:c r="K370" s="8" t="str">
        <x:v>r04-shi-637</x:v>
      </x:c>
      <x:c r="L370" s="8" t="str">
        <x:v>《诗经·皇皇者华》</x:v>
      </x:c>
      <x:c r="M370" s="8" t="str">
        <x:v>周爰咨询。</x:v>
      </x:c>
      <x:c r="N370" s="8" t="str">
        <x:v>使臣奔走访问、广求意见；借请教，不影射今天的职务身份。</x:v>
      </x:c>
      <x:c r="O370" s="8" t="str">
        <x:v>随席取意</x:v>
      </x:c>
      <x:c r="P370" s="8" t="str">
        <x:v>未限定</x:v>
      </x:c>
      <x:c r="Q370" s="8" t="str">
        <x:v>未限定</x:v>
      </x:c>
      <x:c r="R370" s="8" t="str">
        <x:v>引句后整理</x:v>
      </x:c>
      <x:c r="S370" s="8" t="str">
        <x:v>雅致</x:v>
      </x:c>
      <x:c r="T370" s="8" t="str">
        <x:v>我以茶代酒，心意一样真。</x:v>
      </x:c>
      <x:c r="U370" s="8" t="str">
        <x:v>With tea in my cup and the same warm wishes.</x:v>
      </x:c>
      <x:c r="V370" s="8" t="str">
        <x:v>借《诗经》的一句：“周爰咨询。”古人做事也要多问、多听。这杯向您致意，也提醒自己：把不懂的问明白，把答应的做好。</x:v>
      </x:c>
      <x:c r="W370" s="8" t="str">
        <x:v>借《诗经》的一句：“周爰咨询。”古人做事也要多问、多听。这杯向您致意，也提醒自己：把不懂的问明白，把答应的做好。
这杯敬您，愿忙有所成，闲有所乐。</x:v>
      </x:c>
      <x:c r="X370" s="8" t="str">
        <x:v>spoken</x:v>
      </x:c>
      <x:c r="Y370" s="8" t="str">
        <x:v>verse-0</x:v>
      </x:c>
      <x:c r="Z370" s="8" t="str"/>
      <x:c r="AA370" s="12" t="str"/>
    </x:row>
    <x:row r="371" ht="57" customHeight="1">
      <x:c r="A371" s="9" t="str">
        <x:v>r04-shi-691-1</x:v>
      </x:c>
      <x:c r="B371" s="11" t="n">
        <x:v>1</x:v>
      </x:c>
      <x:c r="C371" s="9" t="str">
        <x:v>当前推荐</x:v>
      </x:c>
      <x:c r="D371" s="9" t="str">
        <x:v>领导同事</x:v>
      </x:c>
      <x:c r="E371" s="9" t="str">
        <x:v>领导</x:v>
      </x:c>
      <x:c r="F371" s="9" t="str">
        <x:v>把好意留长</x:v>
      </x:c>
      <x:c r="G371" s="9" t="str">
        <x:v>借《诗经》的一句：“乐只君子，德音不已！”有些好影响，不必天天挂在嘴上，做事时会记得。这杯向您致意，也愿自己少些空话，多些落实。</x:v>
      </x:c>
      <x:c r="H371" s="9" t="str">
        <x:v>借《诗经》的一句：“乐只君子，德音不已！”有些好影响，不必天天挂在嘴上，做事时会记得。这杯向您致意，也愿自己少些空话，多些落实。
这杯敬您，愿忙有所成，闲有所乐。</x:v>
      </x:c>
      <x:c r="I371" s="9" t="str">
        <x:v>To kindness that stays with us and good habits we put into practice.</x:v>
      </x:c>
      <x:c r="J371" s="9" t="str">
        <x:v>愿好意长留，也把好的做法落到日常。</x:v>
      </x:c>
      <x:c r="K371" s="9" t="str">
        <x:v>r04-shi-691</x:v>
      </x:c>
      <x:c r="L371" s="9" t="str">
        <x:v>《诗经·南山有台》</x:v>
      </x:c>
      <x:c r="M371" s="9" t="str">
        <x:v>乐只君子，德音不已！</x:v>
      </x:c>
      <x:c r="N371" s="9" t="str">
        <x:v>祝颂得贤与美德；借好名声与好心意长在，不将普通聚会拟作朝会。</x:v>
      </x:c>
      <x:c r="O371" s="9" t="str">
        <x:v>随席取意</x:v>
      </x:c>
      <x:c r="P371" s="9" t="str">
        <x:v>未限定</x:v>
      </x:c>
      <x:c r="Q371" s="9" t="str">
        <x:v>未限定</x:v>
      </x:c>
      <x:c r="R371" s="9" t="str">
        <x:v>引句后整理</x:v>
      </x:c>
      <x:c r="S371" s="9" t="str">
        <x:v>雅致</x:v>
      </x:c>
      <x:c r="T371" s="9" t="str">
        <x:v>我以茶代酒，心意一样真。</x:v>
      </x:c>
      <x:c r="U371" s="9" t="str">
        <x:v>With tea in my cup and the same warm wishes.</x:v>
      </x:c>
      <x:c r="V371" s="9" t="str">
        <x:v>借《诗经》的一句：“乐只君子，德音不已！”有些好影响，不必天天挂在嘴上，做事时会记得。这杯向您致意，也愿自己少些空话，多些落实。</x:v>
      </x:c>
      <x:c r="W371" s="9" t="str">
        <x:v>借《诗经》的一句：“乐只君子，德音不已！”有些好影响，不必天天挂在嘴上，做事时会记得。这杯向您致意，也愿自己少些空话，多些落实。
这杯敬您，愿忙有所成，闲有所乐。</x:v>
      </x:c>
      <x:c r="X371" s="9" t="str">
        <x:v>spoken</x:v>
      </x:c>
      <x:c r="Y371" s="9" t="str">
        <x:v>verse-2</x:v>
      </x:c>
      <x:c r="Z371" s="9" t="str"/>
      <x:c r="AA371" s="12" t="str"/>
    </x:row>
    <x:row r="372" ht="57" customHeight="1">
      <x:c r="A372" s="8" t="str">
        <x:v>r04-shi-710-2</x:v>
      </x:c>
      <x:c r="B372" s="10" t="n">
        <x:v>1</x:v>
      </x:c>
      <x:c r="C372" s="8" t="str">
        <x:v>当前推荐</x:v>
      </x:c>
      <x:c r="D372" s="8" t="str">
        <x:v>领导同事</x:v>
      </x:c>
      <x:c r="E372" s="8" t="str">
        <x:v>领导</x:v>
      </x:c>
      <x:c r="F372" s="8" t="str">
        <x:v>受教也是欢喜 · 再说一句</x:v>
      </x:c>
      <x:c r="G372" s="8" t="str">
        <x:v>这杯向您致意，也借一句老话说份高兴：能听到不同的经验，心里就多一分开阔。我会把值得学的，落到行动上。借诗词中的一句：“既见君子，我心则喜。”</x:v>
      </x:c>
      <x:c r="H372" s="8" t="str">
        <x:v>这杯向您致意，也借一句老话说份高兴：能听到不同的经验，心里就多一分开阔。我会把值得学的，落到行动上。
《诗经》里有一句：“既见君子，我心则喜。”这杯敬您，愿忙有所成，闲有所乐。</x:v>
      </x:c>
      <x:c r="I372" s="8" t="str">
        <x:v>To conversations that leave us a little wiser and a little more hopeful. Here is to another good day together.</x:v>
      </x:c>
      <x:c r="J372" s="8" t="str">
        <x:v>愿交谈带来一点新知，也添一分盼头。也盼再有同聚的好日子。</x:v>
      </x:c>
      <x:c r="K372" s="8" t="str">
        <x:v>r04-shi-710</x:v>
      </x:c>
      <x:c r="L372" s="8" t="str">
        <x:v>《诗经·菁菁者莪》</x:v>
      </x:c>
      <x:c r="M372" s="8" t="str">
        <x:v>既见君子，我心则喜。</x:v>
      </x:c>
      <x:c r="N372" s="8" t="str">
        <x:v>有乐育人才等解释；借相见与受教之喜，不编造具体师生经历。</x:v>
      </x:c>
      <x:c r="O372" s="8" t="str">
        <x:v>随席取意</x:v>
      </x:c>
      <x:c r="P372" s="8" t="str">
        <x:v>未限定</x:v>
      </x:c>
      <x:c r="Q372" s="8" t="str">
        <x:v>未限定</x:v>
      </x:c>
      <x:c r="R372" s="8" t="str">
        <x:v>引句后整理</x:v>
      </x:c>
      <x:c r="S372" s="8" t="str">
        <x:v>雅致</x:v>
      </x:c>
      <x:c r="T372" s="8" t="str">
        <x:v>我以茶代酒，心意一样真。</x:v>
      </x:c>
      <x:c r="U372" s="8" t="str">
        <x:v>With tea in my cup and the same warm wishes.</x:v>
      </x:c>
      <x:c r="V372" s="8" t="str">
        <x:v>这杯向您致意，也借一句老话说份高兴：能听到不同的经验，心里就多一分开阔。我会把值得学的，落到行动上。借诗词中的一句：“既见君子，我心则喜。”</x:v>
      </x:c>
      <x:c r="W372" s="8" t="str">
        <x:v>这杯向您致意，也借一句老话说份高兴：能听到不同的经验，心里就多一分开阔。我会把值得学的，落到行动上。
《诗经》里有一句：“既见君子，我心则喜。”这杯敬您，愿忙有所成，闲有所乐。</x:v>
      </x:c>
      <x:c r="X372" s="8" t="str">
        <x:v>spoken</x:v>
      </x:c>
      <x:c r="Y372" s="8" t="str">
        <x:v>verse-2</x:v>
      </x:c>
      <x:c r="Z372" s="8" t="str"/>
      <x:c r="AA372" s="12" t="str"/>
    </x:row>
    <x:row r="373" ht="57" customHeight="1">
      <x:c r="A373" s="9" t="str">
        <x:v>r04-story-02-1</x:v>
      </x:c>
      <x:c r="B373" s="11" t="n">
        <x:v>1</x:v>
      </x:c>
      <x:c r="C373" s="9" t="str">
        <x:v>当前推荐</x:v>
      </x:c>
      <x:c r="D373" s="9" t="str">
        <x:v>领导同事</x:v>
      </x:c>
      <x:c r="E373" s="9" t="str">
        <x:v>领导</x:v>
      </x:c>
      <x:c r="F373" s="9" t="str">
        <x:v>敬一份宽和</x:v>
      </x:c>
      <x:c r="G373" s="9" t="str">
        <x:v>《世说新语》里记载：“其器深广，难测量也。”古人用一片深水写人的器量。这杯向您致意，也勉励自己：遇事多一分从容，待人多一分宽和，做事多一分踏实。</x:v>
      </x:c>
      <x:c r="H373" s="9" t="str">
        <x:v>《世说新语》里记载：“其器深广，难测量也。”古人用一片深水写人的器量。这杯向您致意，也勉励自己：遇事多一分从容，待人多一分宽和，做事多一分踏实。
这杯敬您，愿忙有所成，闲有所乐。</x:v>
      </x:c>
      <x:c r="I373" s="9" t="str">
        <x:v>To patience, thoughtfulness, and a steady heart when things get busy.</x:v>
      </x:c>
      <x:c r="J373" s="9" t="str">
        <x:v>愿忙时有耐心，待人有体贴，心里有安稳。</x:v>
      </x:c>
      <x:c r="K373" s="9" t="str">
        <x:v>r04-story-02</x:v>
      </x:c>
      <x:c r="L373" s="9" t="str">
        <x:v>《世说新语·德行第三则》郭林宗访黄叔度</x:v>
      </x:c>
      <x:c r="M373" s="9" t="str">
        <x:v>其器深广，难测量也。</x:v>
      </x:c>
      <x:c r="N373" s="9" t="str">
        <x:v>以深广水泽比器量；人物名号与家传有考异，今天仅借宽厚自持之意，不做人格高下判定。</x:v>
      </x:c>
      <x:c r="O373" s="9" t="str">
        <x:v>随席取意</x:v>
      </x:c>
      <x:c r="P373" s="9" t="str">
        <x:v>未限定</x:v>
      </x:c>
      <x:c r="Q373" s="9" t="str">
        <x:v>未限定</x:v>
      </x:c>
      <x:c r="R373" s="9" t="str">
        <x:v>引句后整理</x:v>
      </x:c>
      <x:c r="S373" s="9" t="str">
        <x:v>雅致</x:v>
      </x:c>
      <x:c r="T373" s="9" t="str">
        <x:v>我以茶代酒，心意一样真。</x:v>
      </x:c>
      <x:c r="U373" s="9" t="str">
        <x:v>With tea in my cup and the same warm wishes.</x:v>
      </x:c>
      <x:c r="V373" s="9" t="str">
        <x:v>《世说新语》里记载：“其器深广，难测量也。”古人用一片深水写人的器量。这杯向您致意，也勉励自己：遇事多一分从容，待人多一分宽和，做事多一分踏实。</x:v>
      </x:c>
      <x:c r="W373" s="9" t="str">
        <x:v>《世说新语》里记载：“其器深广，难测量也。”古人用一片深水写人的器量。这杯向您致意，也勉励自己：遇事多一分从容，待人多一分宽和，做事多一分踏实。
这杯敬您，愿忙有所成，闲有所乐。</x:v>
      </x:c>
      <x:c r="X373" s="9" t="str">
        <x:v>spoken</x:v>
      </x:c>
      <x:c r="Y373" s="9" t="str">
        <x:v>story-1</x:v>
      </x:c>
      <x:c r="Z373" s="9" t="str"/>
      <x:c r="AA373" s="12" t="str"/>
    </x:row>
    <x:row r="374" ht="72" customHeight="1">
      <x:c r="A374" s="8" t="str">
        <x:v>r04-story-11-2</x:v>
      </x:c>
      <x:c r="B374" s="10" t="n">
        <x:v>1</x:v>
      </x:c>
      <x:c r="C374" s="8" t="str">
        <x:v>当前推荐</x:v>
      </x:c>
      <x:c r="D374" s="8" t="str">
        <x:v>领导同事</x:v>
      </x:c>
      <x:c r="E374" s="8" t="str">
        <x:v>领导</x:v>
      </x:c>
      <x:c r="F374" s="8" t="str">
        <x:v>细处也有用心 · 再说一句</x:v>
      </x:c>
      <x:c r="G374" s="8" t="str">
        <x:v>借这则旧事向您致意，也勉励自己：多看一眼细节，多想一步用处，把小事做好，再把路走稳。借这则旧事的一句：“敕船官悉录锯木屑，不限多少。”</x:v>
      </x:c>
      <x:c r="H374" s="8" t="str">
        <x:v>借这则旧事向您致意，也勉励自己：多看一眼细节，多想一步用处，把小事做好，再把路走稳。
《世说新语》里记载：“敕船官悉录锯木屑，不限多少。”这杯敬您，愿忙有所成，闲有所乐。</x:v>
      </x:c>
      <x:c r="I374" s="8" t="str">
        <x:v>To thoughtful details and the work that often goes unnoticed. Here is to another good day together.</x:v>
      </x:c>
      <x:c r="J374" s="8" t="str">
        <x:v>敬那些常被忽略的细节与用心。也盼再有同聚的好日子。</x:v>
      </x:c>
      <x:c r="K374" s="8" t="str">
        <x:v>r04-story-11</x:v>
      </x:c>
      <x:c r="L374" s="8" t="str">
        <x:v>《世说新语·政事第十六则》陶侃留木屑竹头</x:v>
      </x:c>
      <x:c r="M374" s="8" t="str">
        <x:v>敕船官悉录锯木屑，不限多少。</x:v>
      </x:c>
      <x:c r="N374" s="8" t="str">
        <x:v>日常留心与物尽其用，个别年代须考；不美化繁琐管理或预设用户已有相关功绩。</x:v>
      </x:c>
      <x:c r="O374" s="8" t="str">
        <x:v>随席取意</x:v>
      </x:c>
      <x:c r="P374" s="8" t="str">
        <x:v>未限定</x:v>
      </x:c>
      <x:c r="Q374" s="8" t="str">
        <x:v>未限定</x:v>
      </x:c>
      <x:c r="R374" s="8" t="str">
        <x:v>引句后整理</x:v>
      </x:c>
      <x:c r="S374" s="8" t="str">
        <x:v>雅致</x:v>
      </x:c>
      <x:c r="T374" s="8" t="str">
        <x:v>我以茶代酒，心意一样真。</x:v>
      </x:c>
      <x:c r="U374" s="8" t="str">
        <x:v>With tea in my cup and the same warm wishes.</x:v>
      </x:c>
      <x:c r="V374" s="8" t="str">
        <x:v>借这则旧事向您致意，也勉励自己：多看一眼细节，多想一步用处，把小事做好，再把路走稳。借这则旧事的一句：“敕船官悉录锯木屑，不限多少。”</x:v>
      </x:c>
      <x:c r="W374" s="8" t="str">
        <x:v>借这则旧事向您致意，也勉励自己：多看一眼细节，多想一步用处，把小事做好，再把路走稳。
《世说新语》里记载：“敕船官悉录锯木屑，不限多少。”这杯敬您，愿忙有所成，闲有所乐。</x:v>
      </x:c>
      <x:c r="X374" s="8" t="str">
        <x:v>spoken</x:v>
      </x:c>
      <x:c r="Y374" s="8" t="str">
        <x:v>story-2</x:v>
      </x:c>
      <x:c r="Z374" s="8" t="str"/>
      <x:c r="AA374" s="12" t="str"/>
    </x:row>
    <x:row r="375" ht="57" customHeight="1">
      <x:c r="A375" s="9" t="str">
        <x:v>r04-story-16-2</x:v>
      </x:c>
      <x:c r="B375" s="11" t="n">
        <x:v>1</x:v>
      </x:c>
      <x:c r="C375" s="9" t="str">
        <x:v>当前推荐</x:v>
      </x:c>
      <x:c r="D375" s="9" t="str">
        <x:v>领导同事</x:v>
      </x:c>
      <x:c r="E375" s="9" t="str">
        <x:v>领导</x:v>
      </x:c>
      <x:c r="F375" s="9" t="str">
        <x:v>有底气也有从容 · 再说一句</x:v>
      </x:c>
      <x:c r="G375" s="9" t="str">
        <x:v>向您致意，也借这份从容勉励自己：先把该做的准备做好，再把手里的事一件件办稳。借这则旧事的一句：“意色举止，不异于常。”</x:v>
      </x:c>
      <x:c r="H375" s="9" t="str">
        <x:v>向您致意，也借这份从容勉励自己：先把该做的准备做好，再把手里的事一件件办稳。
《世说新语》里记载：“意色举止，不异于常。”这杯敬您，愿忙有所成，闲有所乐。</x:v>
      </x:c>
      <x:c r="I375" s="9" t="str">
        <x:v>To preparation, calm decisions, and good news we can receive with confidence. Here is to another good day together.</x:v>
      </x:c>
      <x:c r="J375" s="9" t="str">
        <x:v>愿准备充分，决定从容，也踏实迎接好消息。也盼再有同聚的好日子。</x:v>
      </x:c>
      <x:c r="K375" s="9" t="str">
        <x:v>r04-story-16</x:v>
      </x:c>
      <x:c r="L375" s="9" t="str">
        <x:v>《世说新语·雅量第三十五则》谢安围棋闻捷</x:v>
      </x:c>
      <x:c r="M375" s="9" t="str">
        <x:v>意色举止，不异于常。</x:v>
      </x:c>
      <x:c r="N375" s="9" t="str">
        <x:v>军事捷报中的镇定，后文亦有折屐表现；借从容，不编造今天的战功或项目成果。</x:v>
      </x:c>
      <x:c r="O375" s="9" t="str">
        <x:v>随席取意</x:v>
      </x:c>
      <x:c r="P375" s="9" t="str">
        <x:v>未限定</x:v>
      </x:c>
      <x:c r="Q375" s="9" t="str">
        <x:v>未限定</x:v>
      </x:c>
      <x:c r="R375" s="9" t="str">
        <x:v>引句后整理</x:v>
      </x:c>
      <x:c r="S375" s="9" t="str">
        <x:v>雅致</x:v>
      </x:c>
      <x:c r="T375" s="9" t="str">
        <x:v>我以茶代酒，心意一样真。</x:v>
      </x:c>
      <x:c r="U375" s="9" t="str">
        <x:v>With tea in my cup and the same warm wishes.</x:v>
      </x:c>
      <x:c r="V375" s="9" t="str">
        <x:v>向您致意，也借这份从容勉励自己：先把该做的准备做好，再把手里的事一件件办稳。借这则旧事的一句：“意色举止，不异于常。”</x:v>
      </x:c>
      <x:c r="W375" s="9" t="str">
        <x:v>向您致意，也借这份从容勉励自己：先把该做的准备做好，再把手里的事一件件办稳。
《世说新语》里记载：“意色举止，不异于常。”这杯敬您，愿忙有所成，闲有所乐。</x:v>
      </x:c>
      <x:c r="X375" s="9" t="str">
        <x:v>spoken</x:v>
      </x:c>
      <x:c r="Y375" s="9" t="str">
        <x:v>story-3</x:v>
      </x:c>
      <x:c r="Z375" s="9" t="str"/>
      <x:c r="AA375" s="12" t="str"/>
    </x:row>
    <x:row r="376" ht="42" customHeight="1">
      <x:c r="A376" s="8" t="str">
        <x:v>spoken-leader-01</x:v>
      </x:c>
      <x:c r="B376" s="10" t="n">
        <x:v>1</x:v>
      </x:c>
      <x:c r="C376" s="8" t="str">
        <x:v>当前推荐</x:v>
      </x:c>
      <x:c r="D376" s="8" t="str">
        <x:v>领导同事</x:v>
      </x:c>
      <x:c r="E376" s="8" t="str">
        <x:v>领导</x:v>
      </x:c>
      <x:c r="F376" s="8" t="str">
        <x:v>敬意放在这杯里</x:v>
      </x:c>
      <x:c r="G376" s="8" t="str">
        <x:v>今天有机会，我单独敬您一杯。祝您身体好、心情好，忙归忙，也多保重。</x:v>
      </x:c>
      <x:c r="H376" s="8" t="str">
        <x:v>今天能坐下来聊聊，我很高兴。这杯我单独敬您，祝您工作顺心、身体健康。我话说得简单，敬意都在里面，也希望往后有机会多向您学习。</x:v>
      </x:c>
      <x:c r="I376" s="8" t="str">
        <x:v>With respect and warm wishes for your health and happiness.</x:v>
      </x:c>
      <x:c r="J376" s="8" t="str">
        <x:v>向您致敬，祝您健康、开心。</x:v>
      </x:c>
      <x:c r="K376" s="8" t="str">
        <x:v>thanks</x:v>
      </x:c>
      <x:c r="L376" s="8" t="str">
        <x:v>感谢要有落点</x:v>
      </x:c>
      <x:c r="M376" s="8" t="str"/>
      <x:c r="N376" s="8" t="str">
        <x:v>用平常说话的速度；玩笑版本只适合已经熟悉、气氛轻松的场合。</x:v>
      </x:c>
      <x:c r="O376" s="8" t="str">
        <x:v>未限定</x:v>
      </x:c>
      <x:c r="P376" s="8" t="str">
        <x:v>未限定</x:v>
      </x:c>
      <x:c r="Q376" s="8" t="str">
        <x:v>未限定</x:v>
      </x:c>
      <x:c r="R376" s="8" t="str">
        <x:v>依据表达方法整理</x:v>
      </x:c>
      <x:c r="S376" s="8" t="str">
        <x:v>雅致</x:v>
      </x:c>
      <x:c r="T376" s="8" t="str">
        <x:v>今天我以茶代酒，敬意一样。</x:v>
      </x:c>
      <x:c r="U376" s="8" t="str">
        <x:v>I’m raising a cup of tea, with the same warm wishes.</x:v>
      </x:c>
      <x:c r="V376" s="8" t="str">
        <x:v>今天有机会，我单独敬您一杯。祝您身体好、心情好，忙归忙，也多保重。</x:v>
      </x:c>
      <x:c r="W376" s="8" t="str">
        <x:v>今天能坐下来聊聊，我很高兴。这杯我单独敬您，祝您工作顺心、身体健康。我话说得简单，敬意都在里面，也希望往后有机会多向您学习。</x:v>
      </x:c>
      <x:c r="X376" s="8" t="str">
        <x:v>spoken</x:v>
      </x:c>
      <x:c r="Y376" s="8" t="str">
        <x:v>plain</x:v>
      </x:c>
      <x:c r="Z376" s="8" t="str"/>
      <x:c r="AA376" s="12" t="str"/>
    </x:row>
    <x:row r="377" ht="42" customHeight="1">
      <x:c r="A377" s="9" t="str">
        <x:v>spoken-leader-02</x:v>
      </x:c>
      <x:c r="B377" s="11" t="n">
        <x:v>1</x:v>
      </x:c>
      <x:c r="C377" s="9" t="str">
        <x:v>当前推荐</x:v>
      </x:c>
      <x:c r="D377" s="9" t="str">
        <x:v>领导同事</x:v>
      </x:c>
      <x:c r="E377" s="9" t="str">
        <x:v>领导</x:v>
      </x:c>
      <x:c r="F377" s="9" t="str">
        <x:v>话说到，事做到</x:v>
      </x:c>
      <x:c r="G377" s="9" t="str">
        <x:v>这杯敬您。好听的话我慢慢学，该做的事我认真做，祝您一切顺心。</x:v>
      </x:c>
      <x:c r="H377" s="9" t="str">
        <x:v>我敬您一杯，也给自己提个醒：话说到了，事情也得做到。以后有机会，我会认真听、踏实学。今天先祝您身体健康，工作顺心，忙里也有清闲。</x:v>
      </x:c>
      <x:c r="I377" s="9" t="str">
        <x:v>With respect. I hope to keep learning and put that learning into practice.</x:v>
      </x:c>
      <x:c r="J377" s="9" t="str">
        <x:v>向您致敬，也愿自己不断学习，把学到的落实到行动。</x:v>
      </x:c>
      <x:c r="K377" s="9" t="str">
        <x:v>thanks</x:v>
      </x:c>
      <x:c r="L377" s="9" t="str">
        <x:v>感谢要有落点</x:v>
      </x:c>
      <x:c r="M377" s="9" t="str"/>
      <x:c r="N377" s="9" t="str">
        <x:v>用平常说话的速度；玩笑版本只适合已经熟悉、气氛轻松的场合。</x:v>
      </x:c>
      <x:c r="O377" s="9" t="str">
        <x:v>未限定</x:v>
      </x:c>
      <x:c r="P377" s="9" t="str">
        <x:v>未限定</x:v>
      </x:c>
      <x:c r="Q377" s="9" t="str">
        <x:v>未限定</x:v>
      </x:c>
      <x:c r="R377" s="9" t="str">
        <x:v>依据表达方法整理</x:v>
      </x:c>
      <x:c r="S377" s="9" t="str">
        <x:v>雅致</x:v>
      </x:c>
      <x:c r="T377" s="9" t="str">
        <x:v>我用茶敬您，祝您身体好、心情好。</x:v>
      </x:c>
      <x:c r="U377" s="9" t="str">
        <x:v>I’m raising a cup of tea, with the same warm wishes.</x:v>
      </x:c>
      <x:c r="V377" s="9" t="str">
        <x:v>这杯敬您。好听的话我慢慢学，该做的事我认真做，祝您一切顺心。</x:v>
      </x:c>
      <x:c r="W377" s="9" t="str">
        <x:v>我敬您一杯，也给自己提个醒：话说到了，事情也得做到。以后有机会，我会认真听、踏实学。今天先祝您身体健康，工作顺心，忙里也有清闲。</x:v>
      </x:c>
      <x:c r="X377" s="9" t="str">
        <x:v>spoken</x:v>
      </x:c>
      <x:c r="Y377" s="9" t="str">
        <x:v>plain</x:v>
      </x:c>
      <x:c r="Z377" s="9" t="str"/>
      <x:c r="AA377" s="12" t="str"/>
    </x:row>
    <x:row r="378" ht="42" customHeight="1">
      <x:c r="A378" s="8" t="str">
        <x:v>spoken-leader-03</x:v>
      </x:c>
      <x:c r="B378" s="10" t="n">
        <x:v>1</x:v>
      </x:c>
      <x:c r="C378" s="8" t="str">
        <x:v>当前推荐</x:v>
      </x:c>
      <x:c r="D378" s="8" t="str">
        <x:v>领导同事</x:v>
      </x:c>
      <x:c r="E378" s="8" t="str">
        <x:v>领导</x:v>
      </x:c>
      <x:c r="F378" s="8" t="str">
        <x:v>先问一声好</x:v>
      </x:c>
      <x:c r="G378" s="8" t="str">
        <x:v>平时见面常聊事情，今天先借这杯问声好：祝您工作顺利，生活舒心。</x:v>
      </x:c>
      <x:c r="H378" s="8" t="str">
        <x:v>工作场合常常一开口就聊事情，今天在饭桌上，我先向您问声好。祝您工作顺利，也祝您忙了一天，回家能放松、能休息。这杯敬您。</x:v>
      </x:c>
      <x:c r="I378" s="8" t="str">
        <x:v>Wishing you success at work and time to rest and enjoy life.</x:v>
      </x:c>
      <x:c r="J378" s="8" t="str">
        <x:v>祝您工作顺利，也有时间休息、享受生活。</x:v>
      </x:c>
      <x:c r="K378" s="8" t="str">
        <x:v>rhythm</x:v>
      </x:c>
      <x:c r="L378" s="8" t="str">
        <x:v>把话写给耳朵听</x:v>
      </x:c>
      <x:c r="M378" s="8" t="str"/>
      <x:c r="N378" s="8" t="str">
        <x:v>用平常说话的速度；玩笑版本只适合已经熟悉、气氛轻松的场合。</x:v>
      </x:c>
      <x:c r="O378" s="8" t="str">
        <x:v>未限定</x:v>
      </x:c>
      <x:c r="P378" s="8" t="str">
        <x:v>未限定</x:v>
      </x:c>
      <x:c r="Q378" s="8" t="str">
        <x:v>未限定</x:v>
      </x:c>
      <x:c r="R378" s="8" t="str">
        <x:v>依据表达方法整理</x:v>
      </x:c>
      <x:c r="S378" s="8" t="str">
        <x:v>雅致</x:v>
      </x:c>
      <x:c r="T378" s="8" t="str">
        <x:v>杯里是茶，祝福是认真的。</x:v>
      </x:c>
      <x:c r="U378" s="8" t="str">
        <x:v>I’m raising a cup of tea, with the same warm wishes.</x:v>
      </x:c>
      <x:c r="V378" s="8" t="str">
        <x:v>平时见面常聊事情，今天先借这杯问声好：祝您工作顺利，生活舒心。</x:v>
      </x:c>
      <x:c r="W378" s="8" t="str">
        <x:v>工作场合常常一开口就聊事情，今天在饭桌上，我先向您问声好。祝您工作顺利，也祝您忙了一天，回家能放松、能休息。这杯敬您。</x:v>
      </x:c>
      <x:c r="X378" s="8" t="str">
        <x:v>spoken</x:v>
      </x:c>
      <x:c r="Y378" s="8" t="str">
        <x:v>plain</x:v>
      </x:c>
      <x:c r="Z378" s="8" t="str"/>
      <x:c r="AA378" s="12" t="str"/>
    </x:row>
    <x:row r="379" ht="42" customHeight="1">
      <x:c r="A379" s="9" t="str">
        <x:v>spoken-leader-06</x:v>
      </x:c>
      <x:c r="B379" s="11" t="n">
        <x:v>1</x:v>
      </x:c>
      <x:c r="C379" s="9" t="str">
        <x:v>当前推荐</x:v>
      </x:c>
      <x:c r="D379" s="9" t="str">
        <x:v>领导同事</x:v>
      </x:c>
      <x:c r="E379" s="9" t="str">
        <x:v>领导</x:v>
      </x:c>
      <x:c r="F379" s="9" t="str">
        <x:v>今天也聊点轻松的</x:v>
      </x:c>
      <x:c r="G379" s="9" t="str">
        <x:v>借“一觞一咏”的雅意，今天也聊点轻松的。这杯敬您，祝您忙得有成，闲得自在。</x:v>
      </x:c>
      <x:c r="H379" s="9" t="str">
        <x:v>借“一觞一咏”的意思，今天有机会，也想听听您工作之外的见闻。我敬您一杯，祝您忙得有成、闲得自在，身体和心情都照顾好。</x:v>
      </x:c>
      <x:c r="I379" s="9" t="str">
        <x:v>With respect, and a wish for rewarding work and relaxing moments.</x:v>
      </x:c>
      <x:c r="J379" s="9" t="str">
        <x:v>向您致敬，祝工作有收获，闲下来能放松。</x:v>
      </x:c>
      <x:c r="K379" s="9" t="str">
        <x:v>lanting</x:v>
      </x:c>
      <x:c r="L379" s="9" t="str">
        <x:v>王羲之《兰亭集序》</x:v>
      </x:c>
      <x:c r="M379" s="9" t="str">
        <x:v>一觞一咏，亦足以畅叙幽情。</x:v>
      </x:c>
      <x:c r="N379" s="9" t="str">
        <x:v>用平常说话的速度；玩笑版本只适合已经熟悉、气氛轻松的场合。</x:v>
      </x:c>
      <x:c r="O379" s="9" t="str">
        <x:v>未限定</x:v>
      </x:c>
      <x:c r="P379" s="9" t="str">
        <x:v>未限定</x:v>
      </x:c>
      <x:c r="Q379" s="9" t="str">
        <x:v>未限定</x:v>
      </x:c>
      <x:c r="R379" s="9" t="str">
        <x:v>引句后整理</x:v>
      </x:c>
      <x:c r="S379" s="9" t="str">
        <x:v>雅致</x:v>
      </x:c>
      <x:c r="T379" s="9" t="str">
        <x:v>杯里是茶，祝福是认真的。</x:v>
      </x:c>
      <x:c r="U379" s="9" t="str">
        <x:v>I’m raising a cup of tea, with the same warm wishes.</x:v>
      </x:c>
      <x:c r="V379" s="9" t="str">
        <x:v>借“一觞一咏”的雅意，今天也聊点轻松的。这杯敬您，祝您忙得有成，闲得自在。</x:v>
      </x:c>
      <x:c r="W379" s="9" t="str">
        <x:v>借“一觞一咏”的意思，今天有机会，也想听听您工作之外的见闻。我敬您一杯，祝您忙得有成、闲得自在，身体和心情都照顾好。</x:v>
      </x:c>
      <x:c r="X379" s="9" t="str">
        <x:v>spoken</x:v>
      </x:c>
      <x:c r="Y379" s="9" t="str">
        <x:v>verse</x:v>
      </x:c>
      <x:c r="Z379" s="9" t="str"/>
      <x:c r="AA379" s="12" t="str"/>
    </x:row>
    <x:row r="380" ht="42" customHeight="1">
      <x:c r="A380" s="8" t="str">
        <x:v>spoken-leader-07</x:v>
      </x:c>
      <x:c r="B380" s="10" t="n">
        <x:v>1</x:v>
      </x:c>
      <x:c r="C380" s="8" t="str">
        <x:v>当前推荐</x:v>
      </x:c>
      <x:c r="D380" s="8" t="str">
        <x:v>领导同事</x:v>
      </x:c>
      <x:c r="E380" s="8" t="str">
        <x:v>领导</x:v>
      </x:c>
      <x:c r="F380" s="8" t="str">
        <x:v>祝福先说清楚</x:v>
      </x:c>
      <x:c r="G380" s="8" t="str">
        <x:v>今天不把敬酒说成汇报，我先把祝福说清楚：祝您身体好、心情好，工作生活都顺心。</x:v>
      </x:c>
      <x:c r="H380" s="8" t="str">
        <x:v>今天我就不把饭桌变成汇报现场了。先把这一杯敬您，祝您身体好、心情好。工作上我认真做，饭桌上也争取把话说得让人听着舒服。</x:v>
      </x:c>
      <x:c r="I380" s="8" t="str">
        <x:v>A simple toast today: good health, good spirits, and warm wishes to you.</x:v>
      </x:c>
      <x:c r="J380" s="8" t="str">
        <x:v>今天说句简单的祝福：祝您健康、开心，一切顺心。</x:v>
      </x:c>
      <x:c r="K380" s="8" t="str">
        <x:v>rhythm</x:v>
      </x:c>
      <x:c r="L380" s="8" t="str">
        <x:v>把话写给耳朵听</x:v>
      </x:c>
      <x:c r="M380" s="8" t="str"/>
      <x:c r="N380" s="8" t="str">
        <x:v>用平常说话的速度；玩笑版本只适合已经熟悉、气氛轻松的场合。</x:v>
      </x:c>
      <x:c r="O380" s="8" t="str">
        <x:v>未限定</x:v>
      </x:c>
      <x:c r="P380" s="8" t="str">
        <x:v>未限定</x:v>
      </x:c>
      <x:c r="Q380" s="8" t="str">
        <x:v>未限定</x:v>
      </x:c>
      <x:c r="R380" s="8" t="str">
        <x:v>依据表达方法整理</x:v>
      </x:c>
      <x:c r="S380" s="8" t="str">
        <x:v>诙谐</x:v>
      </x:c>
      <x:c r="T380" s="8" t="str">
        <x:v>今天我以茶代酒，敬意一样。</x:v>
      </x:c>
      <x:c r="U380" s="8" t="str">
        <x:v>I’m raising a cup of tea, with the same warm wishes.</x:v>
      </x:c>
      <x:c r="V380" s="8" t="str">
        <x:v>今天不把敬酒说成汇报，我先把祝福说清楚：祝您身体好、心情好，工作生活都顺心。</x:v>
      </x:c>
      <x:c r="W380" s="8" t="str">
        <x:v>今天我就不把饭桌变成汇报现场了。先把这一杯敬您，祝您身体好、心情好。工作上我认真做，饭桌上也争取把话说得让人听着舒服。</x:v>
      </x:c>
      <x:c r="X380" s="8" t="str">
        <x:v>spoken</x:v>
      </x:c>
      <x:c r="Y380" s="8" t="str">
        <x:v>fun</x:v>
      </x:c>
      <x:c r="Z380" s="8" t="str"/>
      <x:c r="AA380" s="12" t="str"/>
    </x:row>
    <x:row r="381" ht="42" customHeight="1">
      <x:c r="A381" s="9" t="str">
        <x:v>spoken-leader-08</x:v>
      </x:c>
      <x:c r="B381" s="11" t="n">
        <x:v>1</x:v>
      </x:c>
      <x:c r="C381" s="9" t="str">
        <x:v>当前推荐</x:v>
      </x:c>
      <x:c r="D381" s="9" t="str">
        <x:v>领导同事</x:v>
      </x:c>
      <x:c r="E381" s="9" t="str">
        <x:v>领导</x:v>
      </x:c>
      <x:c r="F381" s="9" t="str">
        <x:v>句子不长，敬意不少</x:v>
      </x:c>
      <x:c r="G381" s="9" t="str">
        <x:v>我这句话不长，敬意可不少。敬您一杯，祝您手头的事好办，心里的事舒坦。</x:v>
      </x:c>
      <x:c r="H381" s="9" t="str">
        <x:v>一轮到我，漂亮话还得现想，敬意倒不用准备。我敬您一杯，祝您手头的事好办，心里的事舒坦。也祝咱们今天吃得好，聊得开心。</x:v>
      </x:c>
      <x:c r="I381" s="9" t="str">
        <x:v>My words are brief, but my respect is sincere. Wishing you ease and happiness.</x:v>
      </x:c>
      <x:c r="J381" s="9" t="str">
        <x:v>话虽简短，敬意是真，祝您顺心、开心。</x:v>
      </x:c>
      <x:c r="K381" s="9" t="str">
        <x:v>rhythm</x:v>
      </x:c>
      <x:c r="L381" s="9" t="str">
        <x:v>把话写给耳朵听</x:v>
      </x:c>
      <x:c r="M381" s="9" t="str"/>
      <x:c r="N381" s="9" t="str">
        <x:v>用平常说话的速度；玩笑版本只适合已经熟悉、气氛轻松的场合。</x:v>
      </x:c>
      <x:c r="O381" s="9" t="str">
        <x:v>未限定</x:v>
      </x:c>
      <x:c r="P381" s="9" t="str">
        <x:v>未限定</x:v>
      </x:c>
      <x:c r="Q381" s="9" t="str">
        <x:v>未限定</x:v>
      </x:c>
      <x:c r="R381" s="9" t="str">
        <x:v>依据表达方法整理</x:v>
      </x:c>
      <x:c r="S381" s="9" t="str">
        <x:v>诙谐</x:v>
      </x:c>
      <x:c r="T381" s="9" t="str">
        <x:v>我用茶敬您，祝您身体好、心情好。</x:v>
      </x:c>
      <x:c r="U381" s="9" t="str">
        <x:v>I’m raising a cup of tea, with the same warm wishes.</x:v>
      </x:c>
      <x:c r="V381" s="9" t="str">
        <x:v>我这句话不长，敬意可不少。敬您一杯，祝您手头的事好办，心里的事舒坦。</x:v>
      </x:c>
      <x:c r="W381" s="9" t="str">
        <x:v>一轮到我，漂亮话还得现想，敬意倒不用准备。我敬您一杯，祝您手头的事好办，心里的事舒坦。也祝咱们今天吃得好，聊得开心。</x:v>
      </x:c>
      <x:c r="X381" s="9" t="str">
        <x:v>spoken</x:v>
      </x:c>
      <x:c r="Y381" s="9" t="str">
        <x:v>fun</x:v>
      </x:c>
      <x:c r="Z381" s="9" t="str"/>
      <x:c r="AA381" s="12" t="str"/>
    </x:row>
    <x:row r="382" ht="42" customHeight="1">
      <x:c r="A382" s="8" t="str">
        <x:v>spoken-leader-09</x:v>
      </x:c>
      <x:c r="B382" s="10" t="n">
        <x:v>1</x:v>
      </x:c>
      <x:c r="C382" s="8" t="str">
        <x:v>当前推荐</x:v>
      </x:c>
      <x:c r="D382" s="8" t="str">
        <x:v>领导同事</x:v>
      </x:c>
      <x:c r="E382" s="8" t="str">
        <x:v>领导</x:v>
      </x:c>
      <x:c r="F382" s="8" t="str">
        <x:v>把祝福说得家常些</x:v>
      </x:c>
      <x:c r="G382" s="8" t="str">
        <x:v>这杯敬您，祝福就说得家常些：身体健康，家里舒心，忙的事情都有好结果。</x:v>
      </x:c>
      <x:c r="H382" s="8" t="str">
        <x:v>今天有机会敬您，想把祝福说得家常一点。祝您身体健康，家里舒心，忙的事情都有好结果。往后有机会，我也多听、多学，把自己的事情做好。</x:v>
      </x:c>
      <x:c r="I382" s="8" t="str">
        <x:v>Wishing you good health, a happy home, and rewarding results in your work.</x:v>
      </x:c>
      <x:c r="J382" s="8" t="str">
        <x:v>祝您身体健康、家庭舒心，工作有好结果。</x:v>
      </x:c>
      <x:c r="K382" s="8" t="str">
        <x:v>thanks</x:v>
      </x:c>
      <x:c r="L382" s="8" t="str">
        <x:v>感谢要有落点</x:v>
      </x:c>
      <x:c r="M382" s="8" t="str"/>
      <x:c r="N382" s="8" t="str">
        <x:v>用平常说话的速度；玩笑版本只适合已经熟悉、气氛轻松的场合。</x:v>
      </x:c>
      <x:c r="O382" s="8" t="str">
        <x:v>未限定</x:v>
      </x:c>
      <x:c r="P382" s="8" t="str">
        <x:v>未限定</x:v>
      </x:c>
      <x:c r="Q382" s="8" t="str">
        <x:v>未限定</x:v>
      </x:c>
      <x:c r="R382" s="8" t="str">
        <x:v>依据表达方法整理</x:v>
      </x:c>
      <x:c r="S382" s="8" t="str">
        <x:v>雅致</x:v>
      </x:c>
      <x:c r="T382" s="8" t="str">
        <x:v>杯里是茶，祝福是认真的。</x:v>
      </x:c>
      <x:c r="U382" s="8" t="str">
        <x:v>I’m raising a cup of tea, with the same warm wishes.</x:v>
      </x:c>
      <x:c r="V382" s="8" t="str">
        <x:v>这杯敬您，祝福就说得家常些：身体健康，家里舒心，忙的事情都有好结果。</x:v>
      </x:c>
      <x:c r="W382" s="8" t="str">
        <x:v>今天有机会敬您，想把祝福说得家常一点。祝您身体健康，家里舒心，忙的事情都有好结果。往后有机会，我也多听、多学，把自己的事情做好。</x:v>
      </x:c>
      <x:c r="X382" s="8" t="str">
        <x:v>spoken</x:v>
      </x:c>
      <x:c r="Y382" s="8" t="str">
        <x:v>plain</x:v>
      </x:c>
      <x:c r="Z382" s="8" t="str"/>
      <x:c r="AA382" s="12" t="str"/>
    </x:row>
    <x:row r="383" ht="42" customHeight="1">
      <x:c r="A383" s="9" t="str">
        <x:v>spoken-leader-11</x:v>
      </x:c>
      <x:c r="B383" s="11" t="n">
        <x:v>1</x:v>
      </x:c>
      <x:c r="C383" s="9" t="str">
        <x:v>当前推荐</x:v>
      </x:c>
      <x:c r="D383" s="9" t="str">
        <x:v>领导同事</x:v>
      </x:c>
      <x:c r="E383" s="9" t="str">
        <x:v>领导</x:v>
      </x:c>
      <x:c r="F383" s="9" t="str">
        <x:v>敬意不用打草稿</x:v>
      </x:c>
      <x:c r="G383" s="9" t="str">
        <x:v>漂亮话还得打草稿，敬意不用。这杯敬您，祝您工作顺心，生活也舒心。</x:v>
      </x:c>
      <x:c r="H383" s="9" t="str">
        <x:v>一说到敬您，我脑子里的句子倒都排队去了。那就先说最实在的：祝您工作顺心、生活舒心。我把这杯敬到，也把该做的事认真做到。</x:v>
      </x:c>
      <x:c r="I383" s="9" t="str">
        <x:v>My words may need practice, but my respect is sincere. Warm wishes to you.</x:v>
      </x:c>
      <x:c r="J383" s="9" t="str">
        <x:v>话还需要练习，敬意是真，祝您顺心。</x:v>
      </x:c>
      <x:c r="K383" s="9" t="str">
        <x:v>rhythm</x:v>
      </x:c>
      <x:c r="L383" s="9" t="str">
        <x:v>把话写给耳朵听</x:v>
      </x:c>
      <x:c r="M383" s="9" t="str"/>
      <x:c r="N383" s="9" t="str">
        <x:v>用平常说话的速度；玩笑版本只适合已经熟悉、气氛轻松的场合。</x:v>
      </x:c>
      <x:c r="O383" s="9" t="str">
        <x:v>未限定</x:v>
      </x:c>
      <x:c r="P383" s="9" t="str">
        <x:v>未限定</x:v>
      </x:c>
      <x:c r="Q383" s="9" t="str">
        <x:v>未限定</x:v>
      </x:c>
      <x:c r="R383" s="9" t="str">
        <x:v>依据表达方法整理</x:v>
      </x:c>
      <x:c r="S383" s="9" t="str">
        <x:v>诙谐</x:v>
      </x:c>
      <x:c r="T383" s="9" t="str">
        <x:v>我用茶敬您，祝您身体好、心情好。</x:v>
      </x:c>
      <x:c r="U383" s="9" t="str">
        <x:v>I’m raising a cup of tea, with the same warm wishes.</x:v>
      </x:c>
      <x:c r="V383" s="9" t="str">
        <x:v>漂亮话还得打草稿，敬意不用。这杯敬您，祝您工作顺心，生活也舒心。</x:v>
      </x:c>
      <x:c r="W383" s="9" t="str">
        <x:v>一说到敬您，我脑子里的句子倒都排队去了。那就先说最实在的：祝您工作顺心、生活舒心。我把这杯敬到，也把该做的事认真做到。</x:v>
      </x:c>
      <x:c r="X383" s="9" t="str">
        <x:v>spoken</x:v>
      </x:c>
      <x:c r="Y383" s="9" t="str">
        <x:v>fun</x:v>
      </x:c>
      <x:c r="Z383" s="9" t="str"/>
      <x:c r="AA383" s="12" t="str"/>
    </x:row>
    <x:row r="384" ht="42" customHeight="1">
      <x:c r="A384" s="8" t="str">
        <x:v>spoken-leader-12</x:v>
      </x:c>
      <x:c r="B384" s="10" t="n">
        <x:v>1</x:v>
      </x:c>
      <x:c r="C384" s="8" t="str">
        <x:v>当前推荐</x:v>
      </x:c>
      <x:c r="D384" s="8" t="str">
        <x:v>领导同事</x:v>
      </x:c>
      <x:c r="E384" s="8" t="str">
        <x:v>领导</x:v>
      </x:c>
      <x:c r="F384" s="8" t="str">
        <x:v>先给好心情留点时间</x:v>
      </x:c>
      <x:c r="G384" s="8" t="str">
        <x:v>事情忙不完，好心情也得排上号。这杯敬您，祝您忙得有收获，闲下能放松。</x:v>
      </x:c>
      <x:c r="H384" s="8" t="str">
        <x:v>今天不讲太多，就祝您忙得有收获，闲下来也能真正放松。好心情不能总往后排。这杯敬您，也盼您身体好、每天都有值得高兴的事。</x:v>
      </x:c>
      <x:c r="I384" s="8" t="str">
        <x:v>May good moods get a place in your schedule too. Wishing you health and happiness.</x:v>
      </x:c>
      <x:c r="J384" s="8" t="str">
        <x:v>愿好心情也能排进日程，祝您健康、开心。</x:v>
      </x:c>
      <x:c r="K384" s="8" t="str">
        <x:v>rhythm</x:v>
      </x:c>
      <x:c r="L384" s="8" t="str">
        <x:v>把话写给耳朵听</x:v>
      </x:c>
      <x:c r="M384" s="8" t="str"/>
      <x:c r="N384" s="8" t="str">
        <x:v>用平常说话的速度；玩笑版本只适合已经熟悉、气氛轻松的场合。</x:v>
      </x:c>
      <x:c r="O384" s="8" t="str">
        <x:v>未限定</x:v>
      </x:c>
      <x:c r="P384" s="8" t="str">
        <x:v>未限定</x:v>
      </x:c>
      <x:c r="Q384" s="8" t="str">
        <x:v>未限定</x:v>
      </x:c>
      <x:c r="R384" s="8" t="str">
        <x:v>依据表达方法整理</x:v>
      </x:c>
      <x:c r="S384" s="8" t="str">
        <x:v>诙谐</x:v>
      </x:c>
      <x:c r="T384" s="8" t="str">
        <x:v>杯里是茶，祝福是认真的。</x:v>
      </x:c>
      <x:c r="U384" s="8" t="str">
        <x:v>I’m raising a cup of tea, with the same warm wishes.</x:v>
      </x:c>
      <x:c r="V384" s="8" t="str">
        <x:v>事情忙不完，好心情也得排上号。这杯敬您，祝您忙得有收获，闲下能放松。</x:v>
      </x:c>
      <x:c r="W384" s="8" t="str">
        <x:v>今天不讲太多，就祝您忙得有收获，闲下来也能真正放松。好心情不能总往后排。这杯敬您，也盼您身体好、每天都有值得高兴的事。</x:v>
      </x:c>
      <x:c r="X384" s="8" t="str">
        <x:v>spoken</x:v>
      </x:c>
      <x:c r="Y384" s="8" t="str">
        <x:v>fun</x:v>
      </x:c>
      <x:c r="Z384" s="8" t="str"/>
      <x:c r="AA384" s="12" t="str"/>
    </x:row>
    <x:row r="385" ht="57" customHeight="1">
      <x:c r="A385" s="9" t="str">
        <x:v>verse-bai-history-leader</x:v>
      </x:c>
      <x:c r="B385" s="11" t="n">
        <x:v>1</x:v>
      </x:c>
      <x:c r="C385" s="9" t="str">
        <x:v>当前推荐</x:v>
      </x:c>
      <x:c r="D385" s="9" t="str">
        <x:v>领导同事</x:v>
      </x:c>
      <x:c r="E385" s="9" t="str">
        <x:v>领导</x:v>
      </x:c>
      <x:c r="F385" s="9" t="str">
        <x:v>敬见闻，也敬认真倾听</x:v>
      </x:c>
      <x:c r="G385" s="9" t="str">
        <x:v>“闲征雅令穷经史，醉听清吟胜管弦。”借古人的雅兴，今天也想多听听您的见闻。这杯向您致意，愿您事顺心宽，我也愿多学、多做。</x:v>
      </x:c>
      <x:c r="H385" s="9" t="str">
        <x:v>白居易写朋友席间谈经史：“闲征雅令穷经史，醉听清吟胜管弦。”今天借这一份雅兴向您致意，也想多听听您的见闻。祝您工作顺心，生活有趣；我也愿认真听、踏实学，把增长的见识落到平常做事里。</x:v>
      </x:c>
      <x:c r="I385" s="9" t="str">
        <x:v>With respect, and a wish to learn from good conversation and put what I learn into practice.</x:v>
      </x:c>
      <x:c r="J385" s="9" t="str">
        <x:v>致以敬意，也愿在交谈中增长见识、落实行动。</x:v>
      </x:c>
      <x:c r="K385" s="9" t="str">
        <x:v>poem-bai-history</x:v>
      </x:c>
      <x:c r="L385" s="9" t="str">
        <x:v>白居易《与梦得沽酒闲饮，且约后期》</x:v>
      </x:c>
      <x:c r="M385" s="9" t="str">
        <x:v>闲征雅令穷经史，醉听清吟胜管弦。</x:v>
      </x:c>
      <x:c r="N385" s="9" t="str">
        <x:v>原诗朋友以经史作雅令、以诗助兴；取交谈见闻的趣味，不要求背书作诗或饮醉。</x:v>
      </x:c>
      <x:c r="O385" s="9" t="str">
        <x:v>邀饮待客、好友知己</x:v>
      </x:c>
      <x:c r="P385" s="9" t="str">
        <x:v>未限定</x:v>
      </x:c>
      <x:c r="Q385" s="9" t="str">
        <x:v>未限定</x:v>
      </x:c>
      <x:c r="R385" s="9" t="str">
        <x:v>引句后整理</x:v>
      </x:c>
      <x:c r="S385" s="9" t="str">
        <x:v>雅致</x:v>
      </x:c>
      <x:c r="T385" s="9" t="str">
        <x:v>我以茶代酒，心意一样。</x:v>
      </x:c>
      <x:c r="U385" s="9" t="str">
        <x:v>With tea in my cup and the same warm wishes.</x:v>
      </x:c>
      <x:c r="V385" s="9" t="str">
        <x:v>“闲征雅令穷经史，醉听清吟胜管弦。”借古人的雅兴，今天也想多听听您的见闻。这杯向您致意，愿您事顺心宽，我也愿多学、多做。</x:v>
      </x:c>
      <x:c r="W385" s="9" t="str">
        <x:v>白居易写朋友席间谈经史：“闲征雅令穷经史，醉听清吟胜管弦。”今天借这一份雅兴向您致意，也想多听听您的见闻。祝您工作顺心，生活有趣；我也愿认真听、踏实学，把增长的见识落到平常做事里。</x:v>
      </x:c>
      <x:c r="X385" s="9" t="str">
        <x:v>spoken</x:v>
      </x:c>
      <x:c r="Y385" s="9" t="str">
        <x:v>verse</x:v>
      </x:c>
      <x:c r="Z385" s="9" t="str"/>
      <x:c r="AA385" s="12" t="str"/>
    </x:row>
    <x:row r="386" ht="57" customHeight="1">
      <x:c r="A386" s="8" t="str">
        <x:v>verse-li-rest-leader</x:v>
      </x:c>
      <x:c r="B386" s="10" t="n">
        <x:v>1</x:v>
      </x:c>
      <x:c r="C386" s="8" t="str">
        <x:v>当前推荐</x:v>
      </x:c>
      <x:c r="D386" s="8" t="str">
        <x:v>领导同事</x:v>
      </x:c>
      <x:c r="E386" s="8" t="str">
        <x:v>领导</x:v>
      </x:c>
      <x:c r="F386" s="8" t="str">
        <x:v>做事有收获，生活有闲处</x:v>
      </x:c>
      <x:c r="G386" s="8" t="str">
        <x:v>“欢言得所憩，美酒聊共挥。”我借“得所憩”这份心意敬您：愿忙时有收获，闲时有好兴致，工作生活都顺心。</x:v>
      </x:c>
      <x:c r="H386" s="8" t="str">
        <x:v>李白写“欢言得所憩，美酒聊共挥”，难得的不只是相聚，也是能歇下来好好说话。今天这杯向您致意，祝您忙时有收获，闲时有好兴致。我也勉励自己，把事做扎实，把人处真诚，让用心落在平常里。</x:v>
      </x:c>
      <x:c r="I386" s="8" t="str">
        <x:v>With respect. May your work be rewarding and your leisure restful and enjoyable.</x:v>
      </x:c>
      <x:c r="J386" s="8" t="str">
        <x:v>致以敬意，愿您忙有所得、闲有所乐。</x:v>
      </x:c>
      <x:c r="K386" s="8" t="str">
        <x:v>poem-li-rest</x:v>
      </x:c>
      <x:c r="L386" s="8" t="str">
        <x:v>李白《下终南山过斛斯山人宿置酒》</x:v>
      </x:c>
      <x:c r="M386" s="8" t="str">
        <x:v>欢言得所憩，美酒聊共挥。</x:v>
      </x:c>
      <x:c r="N386" s="8" t="str">
        <x:v>憩读qì，歇息；“得所憩”后稍停，接到愿大家能歇一歇。 原诗写山行后受到款待；取能歇下来交谈的自在，不预设今日赶路、登山或饮酒量。</x:v>
      </x:c>
      <x:c r="O386" s="8" t="str">
        <x:v>邀饮待客、好友知己</x:v>
      </x:c>
      <x:c r="P386" s="8" t="str">
        <x:v>未限定</x:v>
      </x:c>
      <x:c r="Q386" s="8" t="str">
        <x:v>未限定</x:v>
      </x:c>
      <x:c r="R386" s="8" t="str">
        <x:v>引句后整理</x:v>
      </x:c>
      <x:c r="S386" s="8" t="str">
        <x:v>雅致</x:v>
      </x:c>
      <x:c r="T386" s="8" t="str">
        <x:v>我以茶代酒，心意一样。</x:v>
      </x:c>
      <x:c r="U386" s="8" t="str">
        <x:v>With tea in my cup and the same warm wishes.</x:v>
      </x:c>
      <x:c r="V386" s="8" t="str">
        <x:v>“欢言得所憩，美酒聊共挥。”我借“得所憩”这份心意敬您：愿忙时有收获，闲时有好兴致，工作生活都顺心。</x:v>
      </x:c>
      <x:c r="W386" s="8" t="str">
        <x:v>李白写“欢言得所憩，美酒聊共挥”，难得的不只是相聚，也是能歇下来好好说话。今天这杯向您致意，祝您忙时有收获，闲时有好兴致。我也勉励自己，把事做扎实，把人处真诚，让用心落在平常里。</x:v>
      </x:c>
      <x:c r="X386" s="8" t="str">
        <x:v>spoken</x:v>
      </x:c>
      <x:c r="Y386" s="8" t="str">
        <x:v>verse</x:v>
      </x:c>
      <x:c r="Z386" s="8" t="str"/>
      <x:c r="AA386" s="12" t="str"/>
    </x:row>
    <x:row r="387" ht="57" customHeight="1">
      <x:c r="A387" s="9" t="str">
        <x:v>verse-su-breeze</x:v>
      </x:c>
      <x:c r="B387" s="11" t="n">
        <x:v>1</x:v>
      </x:c>
      <x:c r="C387" s="9" t="str">
        <x:v>当前推荐</x:v>
      </x:c>
      <x:c r="D387" s="9" t="str">
        <x:v>领导同事</x:v>
      </x:c>
      <x:c r="E387" s="9" t="str">
        <x:v>领导</x:v>
      </x:c>
      <x:c r="F387" s="9" t="str">
        <x:v>敬胸襟，也勉励自己</x:v>
      </x:c>
      <x:c r="G387" s="9" t="str">
        <x:v>“一点浩然气，千里快哉风。”这杯向您致意，也勉励自己做事有担当，心里有坦荡。祝您忙有所成，闲有好心情。</x:v>
      </x:c>
      <x:c r="H387" s="9" t="str">
        <x:v>苏轼有句“一点浩然气，千里快哉风”，我很喜欢其中的开阔。今天借这一杯向您致意，也提醒自己：遇事认真做，待人坦荡些。祝您手头的事顺利，生活里的好时光也常有；忙有所成，闲有好心情。</x:v>
      </x:c>
      <x:c r="I387" s="9" t="str">
        <x:v>With sincere respect, and a wish to meet our work with courage and openness. May your days be rewarding and happy.</x:v>
      </x:c>
      <x:c r="J387" s="9" t="str">
        <x:v>致以敬意，也愿自己认真担当、坦荡待人，祝您工作生活顺心。</x:v>
      </x:c>
      <x:c r="K387" s="9" t="str">
        <x:v>poem-su-breeze</x:v>
      </x:c>
      <x:c r="L387" s="9" t="str">
        <x:v>苏轼《水调歌头·黄州快哉亭赠张偓佺》</x:v>
      </x:c>
      <x:c r="M387" s="9" t="str">
        <x:v>一点浩然气，千里快哉风。</x:v>
      </x:c>
      <x:c r="N387" s="9" t="str">
        <x:v>原词以开阔胸襟面对境遇；用于敬意与自勉，不宣称对方德行完美或借势拍马。</x:v>
      </x:c>
      <x:c r="O387" s="9" t="str">
        <x:v>好友知己、邀饮待客</x:v>
      </x:c>
      <x:c r="P387" s="9" t="str">
        <x:v>未限定</x:v>
      </x:c>
      <x:c r="Q387" s="9" t="str">
        <x:v>未限定</x:v>
      </x:c>
      <x:c r="R387" s="9" t="str">
        <x:v>引句后整理</x:v>
      </x:c>
      <x:c r="S387" s="9" t="str">
        <x:v>雅致</x:v>
      </x:c>
      <x:c r="T387" s="9" t="str">
        <x:v>我以茶代酒，心意一样。</x:v>
      </x:c>
      <x:c r="U387" s="9" t="str">
        <x:v>With tea in my cup and the same warm wishes.</x:v>
      </x:c>
      <x:c r="V387" s="9" t="str">
        <x:v>“一点浩然气，千里快哉风。”这杯向您致意，也勉励自己做事有担当，心里有坦荡。祝您忙有所成，闲有好心情。</x:v>
      </x:c>
      <x:c r="W387" s="9" t="str">
        <x:v>苏轼有句“一点浩然气，千里快哉风”，我很喜欢其中的开阔。今天借这一杯向您致意，也提醒自己：遇事认真做，待人坦荡些。祝您手头的事顺利，生活里的好时光也常有；忙有所成，闲有好心情。</x:v>
      </x:c>
      <x:c r="X387" s="9" t="str">
        <x:v>spoken</x:v>
      </x:c>
      <x:c r="Y387" s="9" t="str">
        <x:v>verse</x:v>
      </x:c>
      <x:c r="Z387" s="9" t="str"/>
      <x:c r="AA387" s="12" t="str"/>
    </x:row>
    <x:row r="388" ht="57" customHeight="1">
      <x:c r="A388" s="8" t="str">
        <x:v>verse-tao-reading-leader</x:v>
      </x:c>
      <x:c r="B388" s="10" t="n">
        <x:v>1</x:v>
      </x:c>
      <x:c r="C388" s="8" t="str">
        <x:v>当前推荐</x:v>
      </x:c>
      <x:c r="D388" s="8" t="str">
        <x:v>领导同事</x:v>
      </x:c>
      <x:c r="E388" s="8" t="str">
        <x:v>领导</x:v>
      </x:c>
      <x:c r="F388" s="8" t="str">
        <x:v>借一席，学一点见识</x:v>
      </x:c>
      <x:c r="G388" s="8" t="str">
        <x:v>“奇文共欣赏，疑义相与析。”今天借这一席，也想多学一点见识。这杯向您致意，愿您事顺心宽，我也愿认真学、踏实做。</x:v>
      </x:c>
      <x:c r="H388" s="8" t="str">
        <x:v>陶渊明说“奇文共欣赏，疑义相与析”，我喜欢这种能相互启发的交谈。今天有机会同席，也想多听听您的见闻。这杯向您致意，祝您所行顺遂，生活舒心；我也愿把听到的好见识，慢慢化成自己做事的用心。</x:v>
      </x:c>
      <x:c r="I388" s="8" t="str">
        <x:v>With sincere respect, and a wish to listen carefully, learn thoughtfully, and put good ideas into practice.</x:v>
      </x:c>
      <x:c r="J388" s="8" t="str">
        <x:v>致以敬意，也愿认真听、用心学，把见识落到行动里。</x:v>
      </x:c>
      <x:c r="K388" s="8" t="str">
        <x:v>poem-tao-reading</x:v>
      </x:c>
      <x:c r="L388" s="8" t="str">
        <x:v>陶渊明《移居二首·其一》</x:v>
      </x:c>
      <x:c r="M388" s="8" t="str">
        <x:v>奇文共欣赏，疑义相与析。</x:v>
      </x:c>
      <x:c r="N388" s="8" t="str">
        <x:v>原诗写移居后与邻里谈论文章；取各有所见、共同讨论，不把不同意见变成席间考问。</x:v>
      </x:c>
      <x:c r="O388" s="8" t="str">
        <x:v>好友知己、邀饮待客</x:v>
      </x:c>
      <x:c r="P388" s="8" t="str">
        <x:v>未限定</x:v>
      </x:c>
      <x:c r="Q388" s="8" t="str">
        <x:v>未限定</x:v>
      </x:c>
      <x:c r="R388" s="8" t="str">
        <x:v>引句后整理</x:v>
      </x:c>
      <x:c r="S388" s="8" t="str">
        <x:v>雅致</x:v>
      </x:c>
      <x:c r="T388" s="8" t="str">
        <x:v>我以茶代酒，心意一样。</x:v>
      </x:c>
      <x:c r="U388" s="8" t="str">
        <x:v>With tea in my cup and the same warm wishes.</x:v>
      </x:c>
      <x:c r="V388" s="8" t="str">
        <x:v>“奇文共欣赏，疑义相与析。”今天借这一席，也想多学一点见识。这杯向您致意，愿您事顺心宽，我也愿认真学、踏实做。</x:v>
      </x:c>
      <x:c r="W388" s="8" t="str">
        <x:v>陶渊明说“奇文共欣赏，疑义相与析”，我喜欢这种能相互启发的交谈。今天有机会同席，也想多听听您的见闻。这杯向您致意，祝您所行顺遂，生活舒心；我也愿把听到的好见识，慢慢化成自己做事的用心。</x:v>
      </x:c>
      <x:c r="X388" s="8" t="str">
        <x:v>spoken</x:v>
      </x:c>
      <x:c r="Y388" s="8" t="str">
        <x:v>verse</x:v>
      </x:c>
      <x:c r="Z388" s="8" t="str"/>
      <x:c r="AA388" s="12" t="str"/>
    </x:row>
    <x:row r="389" ht="57" customHeight="1">
      <x:c r="A389" s="9" t="str">
        <x:v>work-leader-01</x:v>
      </x:c>
      <x:c r="B389" s="11" t="n">
        <x:v>1</x:v>
      </x:c>
      <x:c r="C389" s="9" t="str">
        <x:v>当前推荐</x:v>
      </x:c>
      <x:c r="D389" s="9" t="str">
        <x:v>领导同事</x:v>
      </x:c>
      <x:c r="E389" s="9" t="str">
        <x:v>领导</x:v>
      </x:c>
      <x:c r="F389" s="9" t="str">
        <x:v>敬意与自勉</x:v>
      </x:c>
      <x:c r="G389" s="9" t="str">
        <x:v>这一杯向您致敬：愿您行事从容，也愿我勤学笃行。
借这一杯，敬您。</x:v>
      </x:c>
      <x:c r="H389" s="9" t="str">
        <x:v>今天借这一杯，向您致一份敬意。愿您谋事有方，行事从容；也愿我勤学笃行，做事更周全，待人更真诚。以这杯为意，祝您顺遂，也勉励自己继续向前。
借这一杯，敬您。</x:v>
      </x:c>
      <x:c r="I389" s="9" t="str">
        <x:v>To you, with respect, and to learning through thoughtful work.</x:v>
      </x:c>
      <x:c r="J389" s="9" t="str">
        <x:v>向您致敬，也以用心做事勉励自己。</x:v>
      </x:c>
      <x:c r="K389" s="9" t="str">
        <x:v>thanks</x:v>
      </x:c>
      <x:c r="L389" s="9" t="str">
        <x:v>感谢要有落点</x:v>
      </x:c>
      <x:c r="M389" s="9" t="str"/>
      <x:c r="N389" s="9" t="str">
        <x:v>适合晚辈或下属单独致意，不虚构受过提携。</x:v>
      </x:c>
      <x:c r="O389" s="9" t="str">
        <x:v>未限定</x:v>
      </x:c>
      <x:c r="P389" s="9" t="str">
        <x:v>未限定</x:v>
      </x:c>
      <x:c r="Q389" s="9" t="str">
        <x:v>未限定</x:v>
      </x:c>
      <x:c r="R389" s="9" t="str">
        <x:v>依据表达方法整理</x:v>
      </x:c>
      <x:c r="S389" s="9" t="str">
        <x:v>雅致</x:v>
      </x:c>
      <x:c r="T389" s="9" t="str"/>
      <x:c r="U389" s="9" t="str"/>
      <x:c r="V389" s="9" t="str">
        <x:v>这一杯向您致敬：愿您行事从容，也愿我勤学笃行。</x:v>
      </x:c>
      <x:c r="W389" s="9" t="str">
        <x:v>今天借这一杯，向您致一份敬意。愿您谋事有方，行事从容；也愿我勤学笃行，做事更周全，待人更真诚。以这杯为意，祝您顺遂，也勉励自己继续向前。</x:v>
      </x:c>
      <x:c r="X389" s="9" t="str"/>
      <x:c r="Y389" s="9" t="str"/>
      <x:c r="Z389" s="9" t="str"/>
      <x:c r="AA389" s="12" t="str"/>
    </x:row>
    <x:row r="390" ht="57" customHeight="1">
      <x:c r="A390" s="8" t="str">
        <x:v>work-leader-02</x:v>
      </x:c>
      <x:c r="B390" s="10" t="n">
        <x:v>1</x:v>
      </x:c>
      <x:c r="C390" s="8" t="str">
        <x:v>当前推荐</x:v>
      </x:c>
      <x:c r="D390" s="8" t="str">
        <x:v>领导同事</x:v>
      </x:c>
      <x:c r="E390" s="8" t="str">
        <x:v>领导</x:v>
      </x:c>
      <x:c r="F390" s="8" t="str">
        <x:v>学有所得</x:v>
      </x:c>
      <x:c r="G390" s="8" t="str">
        <x:v>敬您一杯，愿您所行顺意；我也愿多学一分见识，多尽一分心力。
借这一杯，敬您。</x:v>
      </x:c>
      <x:c r="H390" s="8" t="str">
        <x:v>能在这一席向您致意，我很珍惜。借这一杯，祝您所行顺意，所谋有成。我也愿多学一分见识，多尽一分心力，把敬意放在杯中，把用心落在事上。
借这一杯，敬您。</x:v>
      </x:c>
      <x:c r="I390" s="8" t="str">
        <x:v>With respect and warm wishes. May I keep learning and do my work well.</x:v>
      </x:c>
      <x:c r="J390" s="8" t="str">
        <x:v>致以敬意和祝愿，也愿自己不断学习、认真做事。</x:v>
      </x:c>
      <x:c r="K390" s="8" t="str">
        <x:v>rhythm</x:v>
      </x:c>
      <x:c r="L390" s="8" t="str">
        <x:v>把话写给耳朵听</x:v>
      </x:c>
      <x:c r="M390" s="8" t="str"/>
      <x:c r="N390" s="8" t="str">
        <x:v>“把用心落在事上”慢下来，收尾有落点。</x:v>
      </x:c>
      <x:c r="O390" s="8" t="str">
        <x:v>未限定</x:v>
      </x:c>
      <x:c r="P390" s="8" t="str">
        <x:v>未限定</x:v>
      </x:c>
      <x:c r="Q390" s="8" t="str">
        <x:v>未限定</x:v>
      </x:c>
      <x:c r="R390" s="8" t="str">
        <x:v>依据表达方法整理</x:v>
      </x:c>
      <x:c r="S390" s="8" t="str">
        <x:v>雅致</x:v>
      </x:c>
      <x:c r="T390" s="8" t="str"/>
      <x:c r="U390" s="8" t="str"/>
      <x:c r="V390" s="8" t="str">
        <x:v>敬您一杯，愿您所行顺意；我也愿多学一分见识，多尽一分心力。</x:v>
      </x:c>
      <x:c r="W390" s="8" t="str">
        <x:v>能在这一席向您致意，我很珍惜。借这一杯，祝您所行顺意，所谋有成。我也愿多学一分见识，多尽一分心力，把敬意放在杯中，把用心落在事上。</x:v>
      </x:c>
      <x:c r="X390" s="8" t="str"/>
      <x:c r="Y390" s="8" t="str"/>
      <x:c r="Z390" s="8" t="str"/>
      <x:c r="AA390" s="12" t="str"/>
    </x:row>
    <x:row r="391" ht="57" customHeight="1">
      <x:c r="A391" s="9" t="str">
        <x:v>work-leader-03</x:v>
      </x:c>
      <x:c r="B391" s="11" t="n">
        <x:v>1</x:v>
      </x:c>
      <x:c r="C391" s="9" t="str">
        <x:v>当前推荐</x:v>
      </x:c>
      <x:c r="D391" s="9" t="str">
        <x:v>领导同事</x:v>
      </x:c>
      <x:c r="E391" s="9" t="str">
        <x:v>领导</x:v>
      </x:c>
      <x:c r="F391" s="9" t="str">
        <x:v>话不多，意不轻</x:v>
      </x:c>
      <x:c r="G391" s="9" t="str">
        <x:v>话不多，意不轻；敬您一杯，愿您事事从容，日日顺心。
借这一杯，敬您。</x:v>
      </x:c>
      <x:c r="H391" s="9" t="str">
        <x:v>轮到我，我就不把饭局开成汇报会了。话不多，意不轻：敬您一杯，愿您事事从容，日日顺心。我也提醒自己，少一点空话，多一点实干。
借这一杯，敬您。</x:v>
      </x:c>
      <x:c r="I391" s="9" t="str">
        <x:v>A few words, with sincere respect. Wishing you calm and rewarding days.</x:v>
      </x:c>
      <x:c r="J391" s="9" t="str">
        <x:v>话不多，敬意真；祝您从容顺遂。</x:v>
      </x:c>
      <x:c r="K391" s="9" t="str">
        <x:v>thanks</x:v>
      </x:c>
      <x:c r="L391" s="9" t="str">
        <x:v>感谢要有落点</x:v>
      </x:c>
      <x:c r="M391" s="9" t="str"/>
      <x:c r="N391" s="9" t="str">
        <x:v>只在气氛轻松时用，自嘲指向自己。</x:v>
      </x:c>
      <x:c r="O391" s="9" t="str">
        <x:v>未限定</x:v>
      </x:c>
      <x:c r="P391" s="9" t="str">
        <x:v>未限定</x:v>
      </x:c>
      <x:c r="Q391" s="9" t="str">
        <x:v>未限定</x:v>
      </x:c>
      <x:c r="R391" s="9" t="str">
        <x:v>依据表达方法整理</x:v>
      </x:c>
      <x:c r="S391" s="9" t="str">
        <x:v>诙谐</x:v>
      </x:c>
      <x:c r="T391" s="9" t="str"/>
      <x:c r="U391" s="9" t="str"/>
      <x:c r="V391" s="9" t="str">
        <x:v>话不多，意不轻；敬您一杯，愿您事事从容，日日顺心。</x:v>
      </x:c>
      <x:c r="W391" s="9" t="str">
        <x:v>轮到我，我就不把饭局开成汇报会了。话不多，意不轻：敬您一杯，愿您事事从容，日日顺心。我也提醒自己，少一点空话，多一点实干。</x:v>
      </x:c>
      <x:c r="X391" s="9" t="str"/>
      <x:c r="Y391" s="9" t="str"/>
      <x:c r="Z391" s="9" t="str"/>
      <x:c r="AA391" s="12" t="str"/>
    </x:row>
    <x:row r="392" ht="57" customHeight="1">
      <x:c r="A392" s="8" t="str">
        <x:v>culture-work-01</x:v>
      </x:c>
      <x:c r="B392" s="10" t="n">
        <x:v>1</x:v>
      </x:c>
      <x:c r="C392" s="8" t="str">
        <x:v>当前推荐</x:v>
      </x:c>
      <x:c r="D392" s="8" t="str">
        <x:v>领导同事</x:v>
      </x:c>
      <x:c r="E392" s="8" t="str">
        <x:v>全桌</x:v>
      </x:c>
      <x:c r="F392" s="8" t="str">
        <x:v>各显神通，也相互照应</x:v>
      </x:c>
      <x:c r="G392" s="8" t="str">
        <x:v>八仙过海——各显神通。敬在座各位的本事，也敬彼此的照应；愿做事各有所长，共事彼此帮忙。</x:v>
      </x:c>
      <x:c r="H392" s="8" t="str">
        <x:v>八仙过海——各显神通。每个人都有自己的长处，能坐在一起，也多一个互相了解的机会。这杯敬各位的本事，也敬彼此的照应；愿做事各有所长，共事彼此帮忙，忙得有收获，也过得有滋味。</x:v>
      </x:c>
      <x:c r="I392" s="8" t="str">
        <x:v>To everyone’s different strengths, and to helping one another make good use of them.</x:v>
      </x:c>
      <x:c r="J392" s="8" t="str">
        <x:v>敬各有所长，也愿彼此照应，一起把事做好。</x:v>
      </x:c>
      <x:c r="K392" s="8" t="str">
        <x:v>folkEight</x:v>
      </x:c>
      <x:c r="L392" s="8" t="str">
        <x:v>八仙过海——各显神通</x:v>
      </x:c>
      <x:c r="M392" s="8" t="str">
        <x:v>八仙过海——各显神通</x:v>
      </x:c>
      <x:c r="N392" s="8" t="str">
        <x:v>民间典故接原创对偶；夸各有所长，不比较酒量，不替领导布置任务。</x:v>
      </x:c>
      <x:c r="O392" s="8" t="str">
        <x:v>未限定</x:v>
      </x:c>
      <x:c r="P392" s="8" t="str">
        <x:v>未限定</x:v>
      </x:c>
      <x:c r="Q392" s="8" t="str">
        <x:v>未限定</x:v>
      </x:c>
      <x:c r="R392" s="8" t="str">
        <x:v>依据表达方法整理</x:v>
      </x:c>
      <x:c r="S392" s="8" t="str">
        <x:v>诙谐</x:v>
      </x:c>
      <x:c r="T392" s="8" t="str">
        <x:v>今天以茶代酒，心意一样真。</x:v>
      </x:c>
      <x:c r="U392" s="8" t="str">
        <x:v>With tea in my cup and the same warm wishes.</x:v>
      </x:c>
      <x:c r="V392" s="8" t="str">
        <x:v>八仙过海——各显神通。敬在座各位的本事，也敬彼此的照应；愿做事各有所长，共事彼此帮忙。</x:v>
      </x:c>
      <x:c r="W392" s="8" t="str">
        <x:v>八仙过海——各显神通。每个人都有自己的长处，能坐在一起，也多一个互相了解的机会。这杯敬各位的本事，也敬彼此的照应；愿做事各有所长，共事彼此帮忙，忙得有收获，也过得有滋味。</x:v>
      </x:c>
      <x:c r="X392" s="8" t="str">
        <x:v>spoken</x:v>
      </x:c>
      <x:c r="Y392" s="8" t="str">
        <x:v>fun</x:v>
      </x:c>
      <x:c r="Z392" s="8" t="str"/>
      <x:c r="AA392" s="12" t="str"/>
    </x:row>
    <x:row r="393" ht="72" customHeight="1">
      <x:c r="A393" s="9" t="str">
        <x:v>r04-ci-10-2</x:v>
      </x:c>
      <x:c r="B393" s="11" t="n">
        <x:v>1</x:v>
      </x:c>
      <x:c r="C393" s="9" t="str">
        <x:v>当前推荐</x:v>
      </x:c>
      <x:c r="D393" s="9" t="str">
        <x:v>领导同事</x:v>
      </x:c>
      <x:c r="E393" s="9" t="str">
        <x:v>全桌</x:v>
      </x:c>
      <x:c r="F393" s="9" t="str">
        <x:v>日子有生机 · 再说一句</x:v>
      </x:c>
      <x:c r="G393" s="9" t="str">
        <x:v>忙归忙，也愿各位别只顾着赶路。这杯敬认真做事的人，愿辛劳有回响，休息也能理直气壮。借诗词中的一句：“日暖桑麻光似泼，风来蒿艾气如薰。”</x:v>
      </x:c>
      <x:c r="H393" s="9" t="str">
        <x:v>忙归忙，也愿各位别只顾着赶路。这杯敬认真做事的人，愿辛劳有回响，休息也能理直气壮。
苏轼在《浣溪沙·软草平莎过雨新》里写道：“日暖桑麻光似泼，风来蒿艾气如薰。”这杯敬各位，愿共事有信任，日子有奔头。</x:v>
      </x:c>
      <x:c r="I393" s="9" t="str">
        <x:v>To noticing small signs of life and making room to enjoy them. Here is to another good day together.</x:v>
      </x:c>
      <x:c r="J393" s="9" t="str">
        <x:v>愿看见日常的生机，也有空慢慢欣赏。也盼再有同聚的好日子。</x:v>
      </x:c>
      <x:c r="K393" s="9" t="str">
        <x:v>r04-ci-10</x:v>
      </x:c>
      <x:c r="L393" s="9" t="str">
        <x:v>苏轼《浣溪沙·软草平莎过雨新》</x:v>
      </x:c>
      <x:c r="M393" s="9" t="str">
        <x:v>日暖桑麻光似泼，风来蒿艾气如薰。</x:v>
      </x:c>
      <x:c r="N393" s="9" t="str">
        <x:v>乡村田园与归耕之念；借日常生机，不称所在地点为田庄。</x:v>
      </x:c>
      <x:c r="O393" s="9" t="str">
        <x:v>随席取意</x:v>
      </x:c>
      <x:c r="P393" s="9" t="str">
        <x:v>未限定</x:v>
      </x:c>
      <x:c r="Q393" s="9" t="str">
        <x:v>未限定</x:v>
      </x:c>
      <x:c r="R393" s="9" t="str">
        <x:v>引句后整理</x:v>
      </x:c>
      <x:c r="S393" s="9" t="str">
        <x:v>雅致</x:v>
      </x:c>
      <x:c r="T393" s="9" t="str">
        <x:v>我以茶代酒，心意一样真。</x:v>
      </x:c>
      <x:c r="U393" s="9" t="str">
        <x:v>With tea in my cup and the same warm wishes.</x:v>
      </x:c>
      <x:c r="V393" s="9" t="str">
        <x:v>忙归忙，也愿各位别只顾着赶路。这杯敬认真做事的人，愿辛劳有回响，休息也能理直气壮。借诗词中的一句：“日暖桑麻光似泼，风来蒿艾气如薰。”</x:v>
      </x:c>
      <x:c r="W393" s="9" t="str">
        <x:v>忙归忙，也愿各位别只顾着赶路。这杯敬认真做事的人，愿辛劳有回响，休息也能理直气壮。
苏轼在《浣溪沙·软草平莎过雨新》里写道：“日暖桑麻光似泼，风来蒿艾气如薰。”这杯敬各位，愿共事有信任，日子有奔头。</x:v>
      </x:c>
      <x:c r="X393" s="9" t="str">
        <x:v>spoken</x:v>
      </x:c>
      <x:c r="Y393" s="9" t="str">
        <x:v>verse-1</x:v>
      </x:c>
      <x:c r="Z393" s="9" t="str"/>
      <x:c r="AA393" s="12" t="str"/>
    </x:row>
    <x:row r="394" ht="57" customHeight="1">
      <x:c r="A394" s="8" t="str">
        <x:v>r04-ci-11-2</x:v>
      </x:c>
      <x:c r="B394" s="10" t="n">
        <x:v>1</x:v>
      </x:c>
      <x:c r="C394" s="8" t="str">
        <x:v>当前推荐</x:v>
      </x:c>
      <x:c r="D394" s="8" t="str">
        <x:v>领导同事</x:v>
      </x:c>
      <x:c r="E394" s="8" t="str">
        <x:v>全桌</x:v>
      </x:c>
      <x:c r="F394" s="8" t="str">
        <x:v>兴致不分早晚 · 再说一句</x:v>
      </x:c>
      <x:c r="G394" s="8" t="str">
        <x:v>这杯敬大家，愿我们做事还有一点好奇和冲劲。已经走过的路算积累，还想做的事，也给它一个开始。借诗词中的一句：“谁道人生无再少”</x:v>
      </x:c>
      <x:c r="H394" s="8" t="str">
        <x:v>这杯敬大家，愿我们做事还有一点好奇和冲劲。已经走过的路算积累，还想做的事，也给它一个开始。
借苏轼的一句：“谁道人生无再少”这杯敬各位，愿共事有信任，日子有奔头。</x:v>
      </x:c>
      <x:c r="I394" s="8" t="str">
        <x:v>To keeping our curiosity alive, whatever our age. Here is to another good day together.</x:v>
      </x:c>
      <x:c r="J394" s="8" t="str">
        <x:v>愿好奇与兴致，不因年岁而消退。也盼再有同聚的好日子。</x:v>
      </x:c>
      <x:c r="K394" s="8" t="str">
        <x:v>r04-ci-11</x:v>
      </x:c>
      <x:c r="L394" s="8" t="str">
        <x:v>苏轼《浣溪沙·游蕲水清泉寺》</x:v>
      </x:c>
      <x:c r="M394" s="8" t="str">
        <x:v>谁道人生无再少</x:v>
      </x:c>
      <x:c r="N394" s="8" t="str">
        <x:v>见溪水西流而振作，非返老还童；不以年龄取笑长辈。</x:v>
      </x:c>
      <x:c r="O394" s="8" t="str">
        <x:v>随席取意</x:v>
      </x:c>
      <x:c r="P394" s="8" t="str">
        <x:v>未限定</x:v>
      </x:c>
      <x:c r="Q394" s="8" t="str">
        <x:v>未限定</x:v>
      </x:c>
      <x:c r="R394" s="8" t="str">
        <x:v>引句后整理</x:v>
      </x:c>
      <x:c r="S394" s="8" t="str">
        <x:v>雅致</x:v>
      </x:c>
      <x:c r="T394" s="8" t="str">
        <x:v>我以茶代酒，心意一样真。</x:v>
      </x:c>
      <x:c r="U394" s="8" t="str">
        <x:v>With tea in my cup and the same warm wishes.</x:v>
      </x:c>
      <x:c r="V394" s="8" t="str">
        <x:v>这杯敬大家，愿我们做事还有一点好奇和冲劲。已经走过的路算积累，还想做的事，也给它一个开始。借诗词中的一句：“谁道人生无再少”</x:v>
      </x:c>
      <x:c r="W394" s="8" t="str">
        <x:v>这杯敬大家，愿我们做事还有一点好奇和冲劲。已经走过的路算积累，还想做的事，也给它一个开始。
借苏轼的一句：“谁道人生无再少”这杯敬各位，愿共事有信任，日子有奔头。</x:v>
      </x:c>
      <x:c r="X394" s="8" t="str">
        <x:v>spoken</x:v>
      </x:c>
      <x:c r="Y394" s="8" t="str">
        <x:v>verse-2</x:v>
      </x:c>
      <x:c r="Z394" s="8" t="str"/>
      <x:c r="AA394" s="12" t="str"/>
    </x:row>
    <x:row r="395" ht="57" customHeight="1">
      <x:c r="A395" s="9" t="str">
        <x:v>r04-ci-20-2</x:v>
      </x:c>
      <x:c r="B395" s="11" t="n">
        <x:v>1</x:v>
      </x:c>
      <x:c r="C395" s="9" t="str">
        <x:v>当前推荐</x:v>
      </x:c>
      <x:c r="D395" s="9" t="str">
        <x:v>领导同事</x:v>
      </x:c>
      <x:c r="E395" s="9" t="str">
        <x:v>全桌</x:v>
      </x:c>
      <x:c r="F395" s="9" t="str">
        <x:v>好事也在寻常处 · 再说一句</x:v>
      </x:c>
      <x:c r="G395" s="9" t="str">
        <x:v>不必每件事都惊天动地，踏实做好，也会慢慢长出自己的春天。这杯敬各位，愿努力有回响，日常有盼头。借诗词中的一句：“春在溪头荠菜花。”</x:v>
      </x:c>
      <x:c r="H395" s="9" t="str">
        <x:v>不必每件事都惊天动地，踏实做好，也会慢慢长出自己的春天。这杯敬各位，愿努力有回响，日常有盼头。
借辛弃疾的一句：“春在溪头荠菜花。”这杯敬各位，愿共事有信任，日子有奔头。</x:v>
      </x:c>
      <x:c r="I395" s="9" t="str">
        <x:v>To finding something fresh in an ordinary day. Here is to another good day together.</x:v>
      </x:c>
      <x:c r="J395" s="9" t="str">
        <x:v>愿平常日子，也能发现一点新意。也盼再有同聚的好日子。</x:v>
      </x:c>
      <x:c r="K395" s="9" t="str">
        <x:v>r04-ci-20</x:v>
      </x:c>
      <x:c r="L395" s="9" t="str">
        <x:v>辛弃疾《鹧鸪天·陌上柔桑破嫩芽》</x:v>
      </x:c>
      <x:c r="M395" s="9" t="str">
        <x:v>春在溪头荠菜花。</x:v>
      </x:c>
      <x:c r="N395" s="9" t="str">
        <x:v>田园春景，荠菜花对比城中桃李；借平常的生机，不称眼下已春天。</x:v>
      </x:c>
      <x:c r="O395" s="9" t="str">
        <x:v>随席取意</x:v>
      </x:c>
      <x:c r="P395" s="9" t="str">
        <x:v>未限定</x:v>
      </x:c>
      <x:c r="Q395" s="9" t="str">
        <x:v>未限定</x:v>
      </x:c>
      <x:c r="R395" s="9" t="str">
        <x:v>引句后整理</x:v>
      </x:c>
      <x:c r="S395" s="9" t="str">
        <x:v>雅致</x:v>
      </x:c>
      <x:c r="T395" s="9" t="str">
        <x:v>我以茶代酒，心意一样真。</x:v>
      </x:c>
      <x:c r="U395" s="9" t="str">
        <x:v>With tea in my cup and the same warm wishes.</x:v>
      </x:c>
      <x:c r="V395" s="9" t="str">
        <x:v>不必每件事都惊天动地，踏实做好，也会慢慢长出自己的春天。这杯敬各位，愿努力有回响，日常有盼头。借诗词中的一句：“春在溪头荠菜花。”</x:v>
      </x:c>
      <x:c r="W395" s="9" t="str">
        <x:v>不必每件事都惊天动地，踏实做好，也会慢慢长出自己的春天。这杯敬各位，愿努力有回响，日常有盼头。
借辛弃疾的一句：“春在溪头荠菜花。”这杯敬各位，愿共事有信任，日子有奔头。</x:v>
      </x:c>
      <x:c r="X395" s="9" t="str">
        <x:v>spoken</x:v>
      </x:c>
      <x:c r="Y395" s="9" t="str">
        <x:v>verse-3</x:v>
      </x:c>
      <x:c r="Z395" s="9" t="str"/>
      <x:c r="AA395" s="12" t="str"/>
    </x:row>
    <x:row r="396" ht="57" customHeight="1">
      <x:c r="A396" s="8" t="str">
        <x:v>r04-shi-637-2</x:v>
      </x:c>
      <x:c r="B396" s="10" t="n">
        <x:v>1</x:v>
      </x:c>
      <x:c r="C396" s="8" t="str">
        <x:v>当前推荐</x:v>
      </x:c>
      <x:c r="D396" s="8" t="str">
        <x:v>领导同事</x:v>
      </x:c>
      <x:c r="E396" s="8" t="str">
        <x:v>全桌</x:v>
      </x:c>
      <x:c r="F396" s="8" t="str">
        <x:v>问明白再做好 · 再说一句</x:v>
      </x:c>
      <x:c r="G396" s="8" t="str">
        <x:v>能共事，也能把不同的想法摆到桌面上，是件好事。敬各位，愿以后问得坦诚，做得踏实，忙得值得。借诗词中的一句：“周爰咨询。”</x:v>
      </x:c>
      <x:c r="H396" s="8" t="str">
        <x:v>能共事，也能把不同的想法摆到桌面上，是件好事。敬各位，愿以后问得坦诚，做得踏实，忙得值得。
借《诗经》的一句：“周爰咨询。”这杯敬各位，愿共事有信任，日子有奔头。</x:v>
      </x:c>
      <x:c r="I396" s="8" t="str">
        <x:v>To asking honest questions and turning good advice into action. Here is to another good day together.</x:v>
      </x:c>
      <x:c r="J396" s="8" t="str">
        <x:v>愿坦诚请教，也把好建议落到行动上。也盼再有同聚的好日子。</x:v>
      </x:c>
      <x:c r="K396" s="8" t="str">
        <x:v>r04-shi-637</x:v>
      </x:c>
      <x:c r="L396" s="8" t="str">
        <x:v>《诗经·皇皇者华》</x:v>
      </x:c>
      <x:c r="M396" s="8" t="str">
        <x:v>周爰咨询。</x:v>
      </x:c>
      <x:c r="N396" s="8" t="str">
        <x:v>使臣奔走访问、广求意见；借请教，不影射今天的职务身份。</x:v>
      </x:c>
      <x:c r="O396" s="8" t="str">
        <x:v>随席取意</x:v>
      </x:c>
      <x:c r="P396" s="8" t="str">
        <x:v>未限定</x:v>
      </x:c>
      <x:c r="Q396" s="8" t="str">
        <x:v>未限定</x:v>
      </x:c>
      <x:c r="R396" s="8" t="str">
        <x:v>引句后整理</x:v>
      </x:c>
      <x:c r="S396" s="8" t="str">
        <x:v>雅致</x:v>
      </x:c>
      <x:c r="T396" s="8" t="str">
        <x:v>我以茶代酒，心意一样真。</x:v>
      </x:c>
      <x:c r="U396" s="8" t="str">
        <x:v>With tea in my cup and the same warm wishes.</x:v>
      </x:c>
      <x:c r="V396" s="8" t="str">
        <x:v>能共事，也能把不同的想法摆到桌面上，是件好事。敬各位，愿以后问得坦诚，做得踏实，忙得值得。借诗词中的一句：“周爰咨询。”</x:v>
      </x:c>
      <x:c r="W396" s="8" t="str">
        <x:v>能共事，也能把不同的想法摆到桌面上，是件好事。敬各位，愿以后问得坦诚，做得踏实，忙得值得。
借《诗经》的一句：“周爰咨询。”这杯敬各位，愿共事有信任，日子有奔头。</x:v>
      </x:c>
      <x:c r="X396" s="8" t="str">
        <x:v>spoken</x:v>
      </x:c>
      <x:c r="Y396" s="8" t="str">
        <x:v>verse-0</x:v>
      </x:c>
      <x:c r="Z396" s="8" t="str"/>
      <x:c r="AA396" s="12" t="str"/>
    </x:row>
    <x:row r="397" ht="57" customHeight="1">
      <x:c r="A397" s="9" t="str">
        <x:v>r04-shi-655-1</x:v>
      </x:c>
      <x:c r="B397" s="11" t="n">
        <x:v>1</x:v>
      </x:c>
      <x:c r="C397" s="9" t="str">
        <x:v>当前推荐</x:v>
      </x:c>
      <x:c r="D397" s="9" t="str">
        <x:v>领导同事</x:v>
      </x:c>
      <x:c r="E397" s="9" t="str">
        <x:v>全桌</x:v>
      </x:c>
      <x:c r="F397" s="9" t="str">
        <x:v>积累慢慢见回响</x:v>
      </x:c>
      <x:c r="G397" s="9" t="str">
        <x:v>借《诗经》的一句：“如川之方至，以莫不增。”借河水渐盛的意象，祝各位一点点积累，也一点点见到回响。敬今天肯认真做事的人，往后的路慢慢走稳。</x:v>
      </x:c>
      <x:c r="H397" s="9" t="str">
        <x:v>借《诗经》的一句：“如川之方至，以莫不增。”借河水渐盛的意象，祝各位一点点积累，也一点点见到回响。敬今天肯认真做事的人，往后的路慢慢走稳。
这杯敬各位，愿共事有信任，日子有奔头。</x:v>
      </x:c>
      <x:c r="I397" s="9" t="str">
        <x:v>To patient effort, steady growth, and happiness along the way.</x:v>
      </x:c>
      <x:c r="J397" s="9" t="str">
        <x:v>愿耐心努力，慢慢成长，沿途也有欢喜。</x:v>
      </x:c>
      <x:c r="K397" s="9" t="str">
        <x:v>r04-shi-655</x:v>
      </x:c>
      <x:c r="L397" s="9" t="str">
        <x:v>《诗经·天保》</x:v>
      </x:c>
      <x:c r="M397" s="9" t="str">
        <x:v>如川之方至，以莫不增。</x:v>
      </x:c>
      <x:c r="N397" s="9" t="str">
        <x:v>原为臣下祝颂君主；借河水渐盛的意象，祝愿不是实际业绩承诺。</x:v>
      </x:c>
      <x:c r="O397" s="9" t="str">
        <x:v>随席取意</x:v>
      </x:c>
      <x:c r="P397" s="9" t="str">
        <x:v>未限定</x:v>
      </x:c>
      <x:c r="Q397" s="9" t="str">
        <x:v>未限定</x:v>
      </x:c>
      <x:c r="R397" s="9" t="str">
        <x:v>引句后整理</x:v>
      </x:c>
      <x:c r="S397" s="9" t="str">
        <x:v>雅致</x:v>
      </x:c>
      <x:c r="T397" s="9" t="str">
        <x:v>我以茶代酒，心意一样真。</x:v>
      </x:c>
      <x:c r="U397" s="9" t="str">
        <x:v>With tea in my cup and the same warm wishes.</x:v>
      </x:c>
      <x:c r="V397" s="9" t="str">
        <x:v>借《诗经》的一句：“如川之方至，以莫不增。”借河水渐盛的意象，祝各位一点点积累，也一点点见到回响。敬今天肯认真做事的人，往后的路慢慢走稳。</x:v>
      </x:c>
      <x:c r="W397" s="9" t="str">
        <x:v>借《诗经》的一句：“如川之方至，以莫不增。”借河水渐盛的意象，祝各位一点点积累，也一点点见到回响。敬今天肯认真做事的人，往后的路慢慢走稳。
这杯敬各位，愿共事有信任，日子有奔头。</x:v>
      </x:c>
      <x:c r="X397" s="9" t="str">
        <x:v>spoken</x:v>
      </x:c>
      <x:c r="Y397" s="9" t="str">
        <x:v>verse-3</x:v>
      </x:c>
      <x:c r="Z397" s="9" t="str"/>
      <x:c r="AA397" s="12" t="str"/>
    </x:row>
    <x:row r="398" ht="57" customHeight="1">
      <x:c r="A398" s="8" t="str">
        <x:v>r04-shi-702-1</x:v>
      </x:c>
      <x:c r="B398" s="10" t="n">
        <x:v>1</x:v>
      </x:c>
      <x:c r="C398" s="8" t="str">
        <x:v>当前推荐</x:v>
      </x:c>
      <x:c r="D398" s="8" t="str">
        <x:v>领导同事</x:v>
      </x:c>
      <x:c r="E398" s="8" t="str">
        <x:v>全桌</x:v>
      </x:c>
      <x:c r="F398" s="8" t="str">
        <x:v>尽兴也有分寸</x:v>
      </x:c>
      <x:c r="G398" s="8" t="str">
        <x:v>《诗经·湛露》写道：“岂弟君子，莫不令仪。”古诗说和乐，也说分寸。今天这杯敬大家：聊得尽兴，饮得随意，彼此照应，平安回去。</x:v>
      </x:c>
      <x:c r="H398" s="8" t="str">
        <x:v>《诗经·湛露》写道：“岂弟君子，莫不令仪。”古诗说和乐，也说分寸。今天这杯敬大家：聊得尽兴，饮得随意，彼此照应，平安回去。
这杯敬各位，愿共事有信任，日子有奔头。</x:v>
      </x:c>
      <x:c r="I398" s="8" t="str">
        <x:v>To a joyful evening, with care and respect for everyone's choices.</x:v>
      </x:c>
      <x:c r="J398" s="8" t="str">
        <x:v>愿今夜尽兴，也尊重每个人的选择。</x:v>
      </x:c>
      <x:c r="K398" s="8" t="str">
        <x:v>r04-shi-702</x:v>
      </x:c>
      <x:c r="L398" s="8" t="str">
        <x:v>《诗经·湛露》</x:v>
      </x:c>
      <x:c r="M398" s="8" t="str">
        <x:v>岂弟君子，莫不令仪。</x:v>
      </x:c>
      <x:c r="N398" s="8" t="str">
        <x:v>天子宴诸侯之诗，含不醉无归；此处只取和乐有仪，不沿用劝醉语。</x:v>
      </x:c>
      <x:c r="O398" s="8" t="str">
        <x:v>随席取意</x:v>
      </x:c>
      <x:c r="P398" s="8" t="str">
        <x:v>未限定</x:v>
      </x:c>
      <x:c r="Q398" s="8" t="str">
        <x:v>未限定</x:v>
      </x:c>
      <x:c r="R398" s="8" t="str">
        <x:v>引句后整理</x:v>
      </x:c>
      <x:c r="S398" s="8" t="str">
        <x:v>雅致</x:v>
      </x:c>
      <x:c r="T398" s="8" t="str">
        <x:v>我以茶代酒，心意一样真。</x:v>
      </x:c>
      <x:c r="U398" s="8" t="str">
        <x:v>With tea in my cup and the same warm wishes.</x:v>
      </x:c>
      <x:c r="V398" s="8" t="str">
        <x:v>《诗经·湛露》写道：“岂弟君子，莫不令仪。”古诗说和乐，也说分寸。今天这杯敬大家：聊得尽兴，饮得随意，彼此照应，平安回去。</x:v>
      </x:c>
      <x:c r="W398" s="8" t="str">
        <x:v>《诗经·湛露》写道：“岂弟君子，莫不令仪。”古诗说和乐，也说分寸。今天这杯敬大家：聊得尽兴，饮得随意，彼此照应，平安回去。
这杯敬各位，愿共事有信任，日子有奔头。</x:v>
      </x:c>
      <x:c r="X398" s="8" t="str">
        <x:v>spoken</x:v>
      </x:c>
      <x:c r="Y398" s="8" t="str">
        <x:v>verse-0</x:v>
      </x:c>
      <x:c r="Z398" s="8" t="str"/>
      <x:c r="AA398" s="12" t="str"/>
    </x:row>
    <x:row r="399" ht="57" customHeight="1">
      <x:c r="A399" s="9" t="str">
        <x:v>r04-shi-758-1</x:v>
      </x:c>
      <x:c r="B399" s="11" t="n">
        <x:v>1</x:v>
      </x:c>
      <x:c r="C399" s="9" t="str">
        <x:v>当前推荐</x:v>
      </x:c>
      <x:c r="D399" s="9" t="str">
        <x:v>领导同事</x:v>
      </x:c>
      <x:c r="E399" s="9" t="str">
        <x:v>全桌</x:v>
      </x:c>
      <x:c r="F399" s="9" t="str">
        <x:v>切磋不必客套</x:v>
      </x:c>
      <x:c r="G399" s="9" t="str">
        <x:v>《诗经·鹤鸣》写道：“他山之石，可以为错。”别人的经验，有时正好照见自己没想到的地方。这杯敬各位，愿我们多些真切磋，少些假客气。</x:v>
      </x:c>
      <x:c r="H399" s="9" t="str">
        <x:v>《诗经·鹤鸣》写道：“他山之石，可以为错。”别人的经验，有时正好照见自己没想到的地方。这杯敬各位，愿我们多些真切磋，少些假客气。
这杯敬各位，愿共事有信任，日子有奔头。</x:v>
      </x:c>
      <x:c r="I399" s="9" t="str">
        <x:v>To learning from one another without pretending to know everything.</x:v>
      </x:c>
      <x:c r="J399" s="9" t="str">
        <x:v>愿彼此学习，不必装作无所不知。</x:v>
      </x:c>
      <x:c r="K399" s="9" t="str">
        <x:v>r04-shi-758</x:v>
      </x:c>
      <x:c r="L399" s="9" t="str">
        <x:v>《诗经·鹤鸣》</x:v>
      </x:c>
      <x:c r="M399" s="9" t="str">
        <x:v>他山之石，可以为错。</x:v>
      </x:c>
      <x:c r="N399" s="9" t="str">
        <x:v>错为磨石；借切磋与借鉴，不把对方比为缺陷或顽石。</x:v>
      </x:c>
      <x:c r="O399" s="9" t="str">
        <x:v>随席取意</x:v>
      </x:c>
      <x:c r="P399" s="9" t="str">
        <x:v>未限定</x:v>
      </x:c>
      <x:c r="Q399" s="9" t="str">
        <x:v>未限定</x:v>
      </x:c>
      <x:c r="R399" s="9" t="str">
        <x:v>引句后整理</x:v>
      </x:c>
      <x:c r="S399" s="9" t="str">
        <x:v>雅致</x:v>
      </x:c>
      <x:c r="T399" s="9" t="str">
        <x:v>我以茶代酒，心意一样真。</x:v>
      </x:c>
      <x:c r="U399" s="9" t="str">
        <x:v>With tea in my cup and the same warm wishes.</x:v>
      </x:c>
      <x:c r="V399" s="9" t="str">
        <x:v>《诗经·鹤鸣》写道：“他山之石，可以为错。”别人的经验，有时正好照见自己没想到的地方。这杯敬各位，愿我们多些真切磋，少些假客气。</x:v>
      </x:c>
      <x:c r="W399" s="9" t="str">
        <x:v>《诗经·鹤鸣》写道：“他山之石，可以为错。”别人的经验，有时正好照见自己没想到的地方。这杯敬各位，愿我们多些真切磋，少些假客气。
这杯敬各位，愿共事有信任，日子有奔头。</x:v>
      </x:c>
      <x:c r="X399" s="9" t="str">
        <x:v>spoken</x:v>
      </x:c>
      <x:c r="Y399" s="9" t="str">
        <x:v>verse-3</x:v>
      </x:c>
      <x:c r="Z399" s="9" t="str"/>
      <x:c r="AA399" s="12" t="str"/>
    </x:row>
    <x:row r="400" ht="57" customHeight="1">
      <x:c r="A400" s="8" t="str">
        <x:v>r04-shi-987-1</x:v>
      </x:c>
      <x:c r="B400" s="10" t="n">
        <x:v>1</x:v>
      </x:c>
      <x:c r="C400" s="8" t="str">
        <x:v>当前推荐</x:v>
      </x:c>
      <x:c r="D400" s="8" t="str">
        <x:v>领导同事</x:v>
      </x:c>
      <x:c r="E400" s="8" t="str">
        <x:v>全桌</x:v>
      </x:c>
      <x:c r="F400" s="8" t="str">
        <x:v>不比高低比自在</x:v>
      </x:c>
      <x:c r="G400" s="8" t="str">
        <x:v>《诗经》里有一句：“彼交匪敖，万福来求。”做事各有所长，相处都留余地。这杯敬大家，愿合作时肯听，见面时有笑，遇事时能彼此搭把手。</x:v>
      </x:c>
      <x:c r="H400" s="8" t="str">
        <x:v>《诗经》里有一句：“彼交匪敖，万福来求。”做事各有所长，相处都留余地。这杯敬大家，愿合作时肯听，见面时有笑，遇事时能彼此搭把手。
这杯敬各位，愿共事有信任，日子有奔头。</x:v>
      </x:c>
      <x:c r="I400" s="8" t="str">
        <x:v>To treating one another with warmth, curiosity, and respect.</x:v>
      </x:c>
      <x:c r="J400" s="8" t="str">
        <x:v>愿彼此温暖相待，保有好奇，也懂尊重。</x:v>
      </x:c>
      <x:c r="K400" s="8" t="str">
        <x:v>r04-shi-987</x:v>
      </x:c>
      <x:c r="L400" s="8" t="str">
        <x:v>《诗经·桑扈》</x:v>
      </x:c>
      <x:c r="M400" s="8" t="str">
        <x:v>彼交匪敖，万福来求。</x:v>
      </x:c>
      <x:c r="N400" s="8" t="str">
        <x:v>天子宴诸侯兼有告诫；借不傲慢、相互尊重，不许诺饮酒得福。</x:v>
      </x:c>
      <x:c r="O400" s="8" t="str">
        <x:v>随席取意</x:v>
      </x:c>
      <x:c r="P400" s="8" t="str">
        <x:v>未限定</x:v>
      </x:c>
      <x:c r="Q400" s="8" t="str">
        <x:v>未限定</x:v>
      </x:c>
      <x:c r="R400" s="8" t="str">
        <x:v>引句后整理</x:v>
      </x:c>
      <x:c r="S400" s="8" t="str">
        <x:v>雅致</x:v>
      </x:c>
      <x:c r="T400" s="8" t="str">
        <x:v>我以茶代酒，心意一样真。</x:v>
      </x:c>
      <x:c r="U400" s="8" t="str">
        <x:v>With tea in my cup and the same warm wishes.</x:v>
      </x:c>
      <x:c r="V400" s="8" t="str">
        <x:v>《诗经》里有一句：“彼交匪敖，万福来求。”做事各有所长，相处都留余地。这杯敬大家，愿合作时肯听，见面时有笑，遇事时能彼此搭把手。</x:v>
      </x:c>
      <x:c r="W400" s="8" t="str">
        <x:v>《诗经》里有一句：“彼交匪敖，万福来求。”做事各有所长，相处都留余地。这杯敬大家，愿合作时肯听，见面时有笑，遇事时能彼此搭把手。
这杯敬各位，愿共事有信任，日子有奔头。</x:v>
      </x:c>
      <x:c r="X400" s="8" t="str">
        <x:v>spoken</x:v>
      </x:c>
      <x:c r="Y400" s="8" t="str">
        <x:v>verse-1</x:v>
      </x:c>
      <x:c r="Z400" s="8" t="str"/>
      <x:c r="AA400" s="12" t="str"/>
    </x:row>
    <x:row r="401" ht="72" customHeight="1">
      <x:c r="A401" s="9" t="str">
        <x:v>r04-story-03-2</x:v>
      </x:c>
      <x:c r="B401" s="11" t="n">
        <x:v>1</x:v>
      </x:c>
      <x:c r="C401" s="9" t="str">
        <x:v>当前推荐</x:v>
      </x:c>
      <x:c r="D401" s="9" t="str">
        <x:v>领导同事</x:v>
      </x:c>
      <x:c r="E401" s="9" t="str">
        <x:v>全桌</x:v>
      </x:c>
      <x:c r="F401" s="9" t="str">
        <x:v>各有各的好 · 再说一句</x:v>
      </x:c>
      <x:c r="G401" s="9" t="str">
        <x:v>谁都各有所长，聚到一处才更有办法。这杯敬各位，愿我们互相补台，各展所长，事情一起做得更稳。借这则旧事的一句：“元方难为兄，季方难为弟。”</x:v>
      </x:c>
      <x:c r="H401" s="9" t="str">
        <x:v>谁都各有所长，聚到一处才更有办法。这杯敬各位，愿我们互相补台，各展所长，事情一起做得更稳。
《世说新语》里记载：“元方难为兄，季方难为弟。”这杯敬各位，愿共事有信任，日子有奔头。</x:v>
      </x:c>
      <x:c r="I401" s="9" t="str">
        <x:v>To different strengths that help us care for the same family or team. Here is to another good day together.</x:v>
      </x:c>
      <x:c r="J401" s="9" t="str">
        <x:v>敬不同的长处，共同照顾一家或一队人。也盼再有同聚的好日子。</x:v>
      </x:c>
      <x:c r="K401" s="9" t="str">
        <x:v>r04-story-03</x:v>
      </x:c>
      <x:c r="L401" s="9" t="str">
        <x:v>《世说新语·德行第八则》元方季方难为兄弟</x:v>
      </x:c>
      <x:c r="M401" s="9" t="str">
        <x:v>元方难为兄，季方难为弟。</x:v>
      </x:c>
      <x:c r="N401" s="9" t="str">
        <x:v>原意兄弟各有美德，难分高下；不是今天口语中关系差的难兄难弟。</x:v>
      </x:c>
      <x:c r="O401" s="9" t="str">
        <x:v>随席取意</x:v>
      </x:c>
      <x:c r="P401" s="9" t="str">
        <x:v>未限定</x:v>
      </x:c>
      <x:c r="Q401" s="9" t="str">
        <x:v>未限定</x:v>
      </x:c>
      <x:c r="R401" s="9" t="str">
        <x:v>引句后整理</x:v>
      </x:c>
      <x:c r="S401" s="9" t="str">
        <x:v>雅致</x:v>
      </x:c>
      <x:c r="T401" s="9" t="str">
        <x:v>我以茶代酒，心意一样真。</x:v>
      </x:c>
      <x:c r="U401" s="9" t="str">
        <x:v>With tea in my cup and the same warm wishes.</x:v>
      </x:c>
      <x:c r="V401" s="9" t="str">
        <x:v>谁都各有所长，聚到一处才更有办法。这杯敬各位，愿我们互相补台，各展所长，事情一起做得更稳。借这则旧事的一句：“元方难为兄，季方难为弟。”</x:v>
      </x:c>
      <x:c r="W401" s="9" t="str">
        <x:v>谁都各有所长，聚到一处才更有办法。这杯敬各位，愿我们互相补台，各展所长，事情一起做得更稳。
《世说新语》里记载：“元方难为兄，季方难为弟。”这杯敬各位，愿共事有信任，日子有奔头。</x:v>
      </x:c>
      <x:c r="X401" s="9" t="str">
        <x:v>spoken</x:v>
      </x:c>
      <x:c r="Y401" s="9" t="str">
        <x:v>story-2</x:v>
      </x:c>
      <x:c r="Z401" s="9" t="str"/>
      <x:c r="AA401" s="12" t="str"/>
    </x:row>
    <x:row r="402" ht="72" customHeight="1">
      <x:c r="A402" s="8" t="str">
        <x:v>r04-story-04-2</x:v>
      </x:c>
      <x:c r="B402" s="10" t="n">
        <x:v>1</x:v>
      </x:c>
      <x:c r="C402" s="8" t="str">
        <x:v>当前推荐</x:v>
      </x:c>
      <x:c r="D402" s="8" t="str">
        <x:v>领导同事</x:v>
      </x:c>
      <x:c r="E402" s="8" t="str">
        <x:v>全桌</x:v>
      </x:c>
      <x:c r="F402" s="8" t="str">
        <x:v>应下的事放在心上 · 再说一句</x:v>
      </x:c>
      <x:c r="G402" s="8" t="str">
        <x:v>借这则旧事勉励咱们自己：承诺以前想清楚，答应以后认真做。敬各位，愿往后合作有信任，遇事有商量。借这则旧事的一句：“既已纳其自托，宁可以急相弃邪？”</x:v>
      </x:c>
      <x:c r="H402" s="8" t="str">
        <x:v>借这则旧事勉励咱们自己：承诺以前想清楚，答应以后认真做。敬各位，愿往后合作有信任，遇事有商量。
《世说新语》里记载：“既已纳其自托，宁可以急相弃邪？”这杯敬各位，愿共事有信任，日子有奔头。</x:v>
      </x:c>
      <x:c r="I402" s="8" t="str">
        <x:v>To promises made carefully and kept with care. Here is to another good day together.</x:v>
      </x:c>
      <x:c r="J402" s="8" t="str">
        <x:v>愿慎重承诺，也认真履行。也盼再有同聚的好日子。</x:v>
      </x:c>
      <x:c r="K402" s="8" t="str">
        <x:v>r04-story-04</x:v>
      </x:c>
      <x:c r="L402" s="8" t="str">
        <x:v>《世说新语·德行第十三则》华歆王朗同舟</x:v>
      </x:c>
      <x:c r="M402" s="8" t="str">
        <x:v>既已纳其自托，宁可以急相弃邪？</x:v>
      </x:c>
      <x:c r="N402" s="8" t="str">
        <x:v>笺疏指出当时二人行踪与同行说存在矛盾；作为文本故事取承诺负责之意，不宣称已证实史实。</x:v>
      </x:c>
      <x:c r="O402" s="8" t="str">
        <x:v>随席取意</x:v>
      </x:c>
      <x:c r="P402" s="8" t="str">
        <x:v>未限定</x:v>
      </x:c>
      <x:c r="Q402" s="8" t="str">
        <x:v>未限定</x:v>
      </x:c>
      <x:c r="R402" s="8" t="str">
        <x:v>引句后整理</x:v>
      </x:c>
      <x:c r="S402" s="8" t="str">
        <x:v>雅致</x:v>
      </x:c>
      <x:c r="T402" s="8" t="str">
        <x:v>我以茶代酒，心意一样真。</x:v>
      </x:c>
      <x:c r="U402" s="8" t="str">
        <x:v>With tea in my cup and the same warm wishes.</x:v>
      </x:c>
      <x:c r="V402" s="8" t="str">
        <x:v>借这则旧事勉励咱们自己：承诺以前想清楚，答应以后认真做。敬各位，愿往后合作有信任，遇事有商量。借这则旧事的一句：“既已纳其自托，宁可以急相弃邪？”</x:v>
      </x:c>
      <x:c r="W402" s="8" t="str">
        <x:v>借这则旧事勉励咱们自己：承诺以前想清楚，答应以后认真做。敬各位，愿往后合作有信任，遇事有商量。
《世说新语》里记载：“既已纳其自托，宁可以急相弃邪？”这杯敬各位，愿共事有信任，日子有奔头。</x:v>
      </x:c>
      <x:c r="X402" s="8" t="str">
        <x:v>spoken</x:v>
      </x:c>
      <x:c r="Y402" s="8" t="str">
        <x:v>story-3</x:v>
      </x:c>
      <x:c r="Z402" s="8" t="str"/>
      <x:c r="AA402" s="12" t="str"/>
    </x:row>
    <x:row r="403" ht="72" customHeight="1">
      <x:c r="A403" s="9" t="str">
        <x:v>r04-story-11-1</x:v>
      </x:c>
      <x:c r="B403" s="11" t="n">
        <x:v>1</x:v>
      </x:c>
      <x:c r="C403" s="9" t="str">
        <x:v>当前推荐</x:v>
      </x:c>
      <x:c r="D403" s="9" t="str">
        <x:v>领导同事</x:v>
      </x:c>
      <x:c r="E403" s="9" t="str">
        <x:v>全桌</x:v>
      </x:c>
      <x:c r="F403" s="9" t="str">
        <x:v>细处也有用心</x:v>
      </x:c>
      <x:c r="G403" s="9" t="str">
        <x:v>《世说新语》里记载：“敕船官悉录锯木屑，不限多少。”木屑、竹头，在故事里都有了用处。今天这杯敬认真留心的人，愿我们做事不轻小处，付出的心思也慢慢见到回响。</x:v>
      </x:c>
      <x:c r="H403" s="9" t="str">
        <x:v>《世说新语》里记载：“敕船官悉录锯木屑，不限多少。”木屑、竹头，在故事里都有了用处。今天这杯敬认真留心的人，愿我们做事不轻小处，付出的心思也慢慢见到回响。
这杯敬各位，愿共事有信任，日子有奔头。</x:v>
      </x:c>
      <x:c r="I403" s="9" t="str">
        <x:v>To thoughtful details and the work that often goes unnoticed.</x:v>
      </x:c>
      <x:c r="J403" s="9" t="str">
        <x:v>敬那些常被忽略的细节与用心。</x:v>
      </x:c>
      <x:c r="K403" s="9" t="str">
        <x:v>r04-story-11</x:v>
      </x:c>
      <x:c r="L403" s="9" t="str">
        <x:v>《世说新语·政事第十六则》陶侃留木屑竹头</x:v>
      </x:c>
      <x:c r="M403" s="9" t="str">
        <x:v>敕船官悉录锯木屑，不限多少。</x:v>
      </x:c>
      <x:c r="N403" s="9" t="str">
        <x:v>日常留心与物尽其用，个别年代须考；不美化繁琐管理或预设用户已有相关功绩。</x:v>
      </x:c>
      <x:c r="O403" s="9" t="str">
        <x:v>随席取意</x:v>
      </x:c>
      <x:c r="P403" s="9" t="str">
        <x:v>未限定</x:v>
      </x:c>
      <x:c r="Q403" s="9" t="str">
        <x:v>未限定</x:v>
      </x:c>
      <x:c r="R403" s="9" t="str">
        <x:v>引句后整理</x:v>
      </x:c>
      <x:c r="S403" s="9" t="str">
        <x:v>雅致</x:v>
      </x:c>
      <x:c r="T403" s="9" t="str">
        <x:v>我以茶代酒，心意一样真。</x:v>
      </x:c>
      <x:c r="U403" s="9" t="str">
        <x:v>With tea in my cup and the same warm wishes.</x:v>
      </x:c>
      <x:c r="V403" s="9" t="str">
        <x:v>《世说新语》里记载：“敕船官悉录锯木屑，不限多少。”木屑、竹头，在故事里都有了用处。今天这杯敬认真留心的人，愿我们做事不轻小处，付出的心思也慢慢见到回响。</x:v>
      </x:c>
      <x:c r="W403" s="9" t="str">
        <x:v>《世说新语》里记载：“敕船官悉录锯木屑，不限多少。”木屑、竹头，在故事里都有了用处。今天这杯敬认真留心的人，愿我们做事不轻小处，付出的心思也慢慢见到回响。
这杯敬各位，愿共事有信任，日子有奔头。</x:v>
      </x:c>
      <x:c r="X403" s="9" t="str">
        <x:v>spoken</x:v>
      </x:c>
      <x:c r="Y403" s="9" t="str">
        <x:v>story-2</x:v>
      </x:c>
      <x:c r="Z403" s="9" t="str"/>
      <x:c r="AA403" s="12" t="str"/>
    </x:row>
    <x:row r="404" ht="57" customHeight="1">
      <x:c r="A404" s="8" t="str">
        <x:v>r04-story-16-1</x:v>
      </x:c>
      <x:c r="B404" s="10" t="n">
        <x:v>1</x:v>
      </x:c>
      <x:c r="C404" s="8" t="str">
        <x:v>当前推荐</x:v>
      </x:c>
      <x:c r="D404" s="8" t="str">
        <x:v>领导同事</x:v>
      </x:c>
      <x:c r="E404" s="8" t="str">
        <x:v>全桌</x:v>
      </x:c>
      <x:c r="F404" s="8" t="str">
        <x:v>有底气也有从容</x:v>
      </x:c>
      <x:c r="G404" s="8" t="str">
        <x:v>《世说新语》里记载：“意色举止，不异于常。”这则旧事讲人在大事面前的镇定。今天这杯敬大家，愿做事有准备，遇事不慌张，好消息来了，也能踏实接住。</x:v>
      </x:c>
      <x:c r="H404" s="8" t="str">
        <x:v>《世说新语》里记载：“意色举止，不异于常。”这则旧事讲人在大事面前的镇定。今天这杯敬大家，愿做事有准备，遇事不慌张，好消息来了，也能踏实接住。
这杯敬各位，愿共事有信任，日子有奔头。</x:v>
      </x:c>
      <x:c r="I404" s="8" t="str">
        <x:v>To preparation, calm decisions, and good news we can receive with confidence.</x:v>
      </x:c>
      <x:c r="J404" s="8" t="str">
        <x:v>愿准备充分，决定从容，也踏实迎接好消息。</x:v>
      </x:c>
      <x:c r="K404" s="8" t="str">
        <x:v>r04-story-16</x:v>
      </x:c>
      <x:c r="L404" s="8" t="str">
        <x:v>《世说新语·雅量第三十五则》谢安围棋闻捷</x:v>
      </x:c>
      <x:c r="M404" s="8" t="str">
        <x:v>意色举止，不异于常。</x:v>
      </x:c>
      <x:c r="N404" s="8" t="str">
        <x:v>军事捷报中的镇定，后文亦有折屐表现；借从容，不编造今天的战功或项目成果。</x:v>
      </x:c>
      <x:c r="O404" s="8" t="str">
        <x:v>随席取意</x:v>
      </x:c>
      <x:c r="P404" s="8" t="str">
        <x:v>未限定</x:v>
      </x:c>
      <x:c r="Q404" s="8" t="str">
        <x:v>未限定</x:v>
      </x:c>
      <x:c r="R404" s="8" t="str">
        <x:v>引句后整理</x:v>
      </x:c>
      <x:c r="S404" s="8" t="str">
        <x:v>雅致</x:v>
      </x:c>
      <x:c r="T404" s="8" t="str">
        <x:v>我以茶代酒，心意一样真。</x:v>
      </x:c>
      <x:c r="U404" s="8" t="str">
        <x:v>With tea in my cup and the same warm wishes.</x:v>
      </x:c>
      <x:c r="V404" s="8" t="str">
        <x:v>《世说新语》里记载：“意色举止，不异于常。”这则旧事讲人在大事面前的镇定。今天这杯敬大家，愿做事有准备，遇事不慌张，好消息来了，也能踏实接住。</x:v>
      </x:c>
      <x:c r="W404" s="8" t="str">
        <x:v>《世说新语》里记载：“意色举止，不异于常。”这则旧事讲人在大事面前的镇定。今天这杯敬大家，愿做事有准备，遇事不慌张，好消息来了，也能踏实接住。
这杯敬各位，愿共事有信任，日子有奔头。</x:v>
      </x:c>
      <x:c r="X404" s="8" t="str">
        <x:v>spoken</x:v>
      </x:c>
      <x:c r="Y404" s="8" t="str">
        <x:v>story-3</x:v>
      </x:c>
      <x:c r="Z404" s="8" t="str"/>
      <x:c r="AA404" s="12" t="str"/>
    </x:row>
    <x:row r="405" ht="72" customHeight="1">
      <x:c r="A405" s="9" t="str">
        <x:v>r04-story-22-2</x:v>
      </x:c>
      <x:c r="B405" s="11" t="n">
        <x:v>1</x:v>
      </x:c>
      <x:c r="C405" s="9" t="str">
        <x:v>当前推荐</x:v>
      </x:c>
      <x:c r="D405" s="9" t="str">
        <x:v>领导同事</x:v>
      </x:c>
      <x:c r="E405" s="9" t="str">
        <x:v>全桌</x:v>
      </x:c>
      <x:c r="F405" s="9" t="str">
        <x:v>把约定当回事 · 再说一句</x:v>
      </x:c>
      <x:c r="G405" s="9" t="str">
        <x:v>这杯敬各位，也提醒自己：答应的事认真记，做不到就早点说明。愿往后合作，少些猜测，多些放心。借这则旧事的一句：“日中不至，则是无信。”</x:v>
      </x:c>
      <x:c r="H405" s="9" t="str">
        <x:v>这杯敬各位，也提醒自己：答应的事认真记，做不到就早点说明。愿往后合作，少些猜测，多些放心。
《世说新语》里记载：“日中不至，则是无信。”这杯敬各位，愿共事有信任，日子有奔头。</x:v>
      </x:c>
      <x:c r="I405" s="9" t="str">
        <x:v>To taking each other's time and commitments seriously. Here is to another good day together.</x:v>
      </x:c>
      <x:c r="J405" s="9" t="str">
        <x:v>愿认真看待彼此的时间与约定。也盼再有同聚的好日子。</x:v>
      </x:c>
      <x:c r="K405" s="9" t="str">
        <x:v>r04-story-22</x:v>
      </x:c>
      <x:c r="L405" s="9" t="str">
        <x:v>《世说新语·方正第一则》陈太丘与友期行</x:v>
      </x:c>
      <x:c r="M405" s="9" t="str">
        <x:v>日中不至，则是无信。</x:v>
      </x:c>
      <x:c r="N405" s="9" t="str">
        <x:v>原条目论信与礼，称太丘为追叙；借重视约定，不在席间点名责备迟到者。</x:v>
      </x:c>
      <x:c r="O405" s="9" t="str">
        <x:v>随席取意</x:v>
      </x:c>
      <x:c r="P405" s="9" t="str">
        <x:v>未限定</x:v>
      </x:c>
      <x:c r="Q405" s="9" t="str">
        <x:v>未限定</x:v>
      </x:c>
      <x:c r="R405" s="9" t="str">
        <x:v>引句后整理</x:v>
      </x:c>
      <x:c r="S405" s="9" t="str">
        <x:v>雅致</x:v>
      </x:c>
      <x:c r="T405" s="9" t="str">
        <x:v>我以茶代酒，心意一样真。</x:v>
      </x:c>
      <x:c r="U405" s="9" t="str">
        <x:v>With tea in my cup and the same warm wishes.</x:v>
      </x:c>
      <x:c r="V405" s="9" t="str">
        <x:v>这杯敬各位，也提醒自己：答应的事认真记，做不到就早点说明。愿往后合作，少些猜测，多些放心。借这则旧事的一句：“日中不至，则是无信。”</x:v>
      </x:c>
      <x:c r="W405" s="9" t="str">
        <x:v>这杯敬各位，也提醒自己：答应的事认真记，做不到就早点说明。愿往后合作，少些猜测，多些放心。
《世说新语》里记载：“日中不至，则是无信。”这杯敬各位，愿共事有信任，日子有奔头。</x:v>
      </x:c>
      <x:c r="X405" s="9" t="str">
        <x:v>spoken</x:v>
      </x:c>
      <x:c r="Y405" s="9" t="str">
        <x:v>story-1</x:v>
      </x:c>
      <x:c r="Z405" s="9" t="str"/>
      <x:c r="AA405" s="12" t="str"/>
    </x:row>
    <x:row r="406" ht="42" customHeight="1">
      <x:c r="A406" s="8" t="str">
        <x:v>spoken-colleagues-01</x:v>
      </x:c>
      <x:c r="B406" s="10" t="n">
        <x:v>1</x:v>
      </x:c>
      <x:c r="C406" s="8" t="str">
        <x:v>当前推荐</x:v>
      </x:c>
      <x:c r="D406" s="8" t="str">
        <x:v>领导同事</x:v>
      </x:c>
      <x:c r="E406" s="8" t="str">
        <x:v>全桌</x:v>
      </x:c>
      <x:c r="F406" s="8" t="str">
        <x:v>先把这杯敬给大家</x:v>
      </x:c>
      <x:c r="G406" s="8" t="str">
        <x:v>今天这杯敬大家。工作上有事一起商量，吃饭的时候咱们就放松点，祝各位忙得有收获，也过得有滋味。</x:v>
      </x:c>
      <x:c r="H406" s="8" t="str">
        <x:v>平时聊工作多，像今天这样坐下来聊聊生活，也挺好。这杯我敬在座各位，祝大家做事顺手、身体健康；工作之外，也别忘了给自己留点开心的时间。</x:v>
      </x:c>
      <x:c r="I406" s="8" t="str">
        <x:v>To good work together and a good life beyond work.</x:v>
      </x:c>
      <x:c r="J406" s="8" t="str">
        <x:v>敬一起把事做好，也祝工作之外的生活开心。</x:v>
      </x:c>
      <x:c r="K406" s="8" t="str">
        <x:v>thanks</x:v>
      </x:c>
      <x:c r="L406" s="8" t="str">
        <x:v>感谢要有落点</x:v>
      </x:c>
      <x:c r="M406" s="8" t="str"/>
      <x:c r="N406" s="8" t="str">
        <x:v>目光照顾全桌；普通同事说自己的感受，不替团队作承诺。</x:v>
      </x:c>
      <x:c r="O406" s="8" t="str">
        <x:v>未限定</x:v>
      </x:c>
      <x:c r="P406" s="8" t="str">
        <x:v>未限定</x:v>
      </x:c>
      <x:c r="Q406" s="8" t="str">
        <x:v>未限定</x:v>
      </x:c>
      <x:c r="R406" s="8" t="str">
        <x:v>依据表达方法整理</x:v>
      </x:c>
      <x:c r="S406" s="8" t="str">
        <x:v>雅致</x:v>
      </x:c>
      <x:c r="T406" s="8" t="str">
        <x:v>今天我以茶代酒，心意都在。</x:v>
      </x:c>
      <x:c r="U406" s="8" t="str">
        <x:v>I’m raising a cup of tea, with the same warm wishes.</x:v>
      </x:c>
      <x:c r="V406" s="8" t="str">
        <x:v>今天这杯敬大家。工作上有事一起商量，吃饭的时候咱们就放松点，祝各位忙得有收获，也过得有滋味。</x:v>
      </x:c>
      <x:c r="W406" s="8" t="str">
        <x:v>平时聊工作多，像今天这样坐下来聊聊生活，也挺好。这杯我敬在座各位，祝大家做事顺手、身体健康；工作之外，也别忘了给自己留点开心的时间。</x:v>
      </x:c>
      <x:c r="X406" s="8" t="str">
        <x:v>spoken</x:v>
      </x:c>
      <x:c r="Y406" s="8" t="str">
        <x:v>plain</x:v>
      </x:c>
      <x:c r="Z406" s="8" t="str"/>
      <x:c r="AA406" s="12" t="str"/>
    </x:row>
    <x:row r="407" ht="42" customHeight="1">
      <x:c r="A407" s="9" t="str">
        <x:v>spoken-colleagues-02</x:v>
      </x:c>
      <x:c r="B407" s="11" t="n">
        <x:v>1</x:v>
      </x:c>
      <x:c r="C407" s="9" t="str">
        <x:v>当前推荐</x:v>
      </x:c>
      <x:c r="D407" s="9" t="str">
        <x:v>领导同事</x:v>
      </x:c>
      <x:c r="E407" s="9" t="str">
        <x:v>全桌</x:v>
      </x:c>
      <x:c r="F407" s="9" t="str">
        <x:v>多聊一点，就多懂一点</x:v>
      </x:c>
      <x:c r="G407" s="9" t="str">
        <x:v>同桌吃顿饭，多聊几句，往后共事也多一分了解。敬各位，祝大家工作顺、生活也顺。</x:v>
      </x:c>
      <x:c r="H407" s="9" t="str">
        <x:v>工作里认识一个人，和饭桌上认识一个人，感觉还真不一样。今天能多聊几句，我很高兴。敬大家一杯，愿以后有事好沟通，遇到难处有人商量，好消息也能一起分享。</x:v>
      </x:c>
      <x:c r="I407" s="9" t="str">
        <x:v>To understanding one another better and keeping the conversation open.</x:v>
      </x:c>
      <x:c r="J407" s="9" t="str">
        <x:v>敬更多了解，也愿往后沟通顺畅。</x:v>
      </x:c>
      <x:c r="K407" s="9" t="str">
        <x:v>thanks</x:v>
      </x:c>
      <x:c r="L407" s="9" t="str">
        <x:v>感谢要有落点</x:v>
      </x:c>
      <x:c r="M407" s="9" t="str"/>
      <x:c r="N407" s="9" t="str">
        <x:v>目光照顾全桌；普通同事说自己的感受，不替团队作承诺。</x:v>
      </x:c>
      <x:c r="O407" s="9" t="str">
        <x:v>未限定</x:v>
      </x:c>
      <x:c r="P407" s="9" t="str">
        <x:v>未限定</x:v>
      </x:c>
      <x:c r="Q407" s="9" t="str">
        <x:v>未限定</x:v>
      </x:c>
      <x:c r="R407" s="9" t="str">
        <x:v>依据表达方法整理</x:v>
      </x:c>
      <x:c r="S407" s="9" t="str">
        <x:v>雅致</x:v>
      </x:c>
      <x:c r="T407" s="9" t="str">
        <x:v>杯里是茶，祝福一样认真。</x:v>
      </x:c>
      <x:c r="U407" s="9" t="str">
        <x:v>I’m raising a cup of tea, with the same warm wishes.</x:v>
      </x:c>
      <x:c r="V407" s="9" t="str">
        <x:v>同桌吃顿饭，多聊几句，往后共事也多一分了解。敬各位，祝大家工作顺、生活也顺。</x:v>
      </x:c>
      <x:c r="W407" s="9" t="str">
        <x:v>工作里认识一个人，和饭桌上认识一个人，感觉还真不一样。今天能多聊几句，我很高兴。敬大家一杯，愿以后有事好沟通，遇到难处有人商量，好消息也能一起分享。</x:v>
      </x:c>
      <x:c r="X407" s="9" t="str">
        <x:v>spoken</x:v>
      </x:c>
      <x:c r="Y407" s="9" t="str">
        <x:v>plain</x:v>
      </x:c>
      <x:c r="Z407" s="9" t="str"/>
      <x:c r="AA407" s="12" t="str"/>
    </x:row>
    <x:row r="408" ht="42" customHeight="1">
      <x:c r="A408" s="8" t="str">
        <x:v>spoken-colleagues-03</x:v>
      </x:c>
      <x:c r="B408" s="10" t="n">
        <x:v>1</x:v>
      </x:c>
      <x:c r="C408" s="8" t="str">
        <x:v>当前推荐</x:v>
      </x:c>
      <x:c r="D408" s="8" t="str">
        <x:v>领导同事</x:v>
      </x:c>
      <x:c r="E408" s="8" t="str">
        <x:v>全桌</x:v>
      </x:c>
      <x:c r="F408" s="8" t="str">
        <x:v>忙，也要有个好心情</x:v>
      </x:c>
      <x:c r="G408" s="8" t="str">
        <x:v>事情做不完，饭总要好好吃。这杯敬大家，祝我们忙有所得，闲有所乐。</x:v>
      </x:c>
      <x:c r="H408" s="8" t="str">
        <x:v>事情一件接一件，今天既然坐到一起，就先把这顿饭吃好。我敬各位，祝工作上的认真都有回报，也祝下班以后的日子有意思，别总把好心情留到放假。</x:v>
      </x:c>
      <x:c r="I408" s="8" t="str">
        <x:v>May our efforts pay off, and may ordinary evenings bring us joy too.</x:v>
      </x:c>
      <x:c r="J408" s="8" t="str">
        <x:v>愿努力有回报，也愿平常的夜晚有开心的事。</x:v>
      </x:c>
      <x:c r="K408" s="8" t="str">
        <x:v>rhythm</x:v>
      </x:c>
      <x:c r="L408" s="8" t="str">
        <x:v>把话写给耳朵听</x:v>
      </x:c>
      <x:c r="M408" s="8" t="str"/>
      <x:c r="N408" s="8" t="str">
        <x:v>目光照顾全桌；普通同事说自己的感受，不替团队作承诺。</x:v>
      </x:c>
      <x:c r="O408" s="8" t="str">
        <x:v>未限定</x:v>
      </x:c>
      <x:c r="P408" s="8" t="str">
        <x:v>未限定</x:v>
      </x:c>
      <x:c r="Q408" s="8" t="str">
        <x:v>未限定</x:v>
      </x:c>
      <x:c r="R408" s="8" t="str">
        <x:v>依据表达方法整理</x:v>
      </x:c>
      <x:c r="S408" s="8" t="str">
        <x:v>雅致</x:v>
      </x:c>
      <x:c r="T408" s="8" t="str">
        <x:v>我用茶陪大家，咱们自在就好。</x:v>
      </x:c>
      <x:c r="U408" s="8" t="str">
        <x:v>I’m raising a cup of tea, with the same warm wishes.</x:v>
      </x:c>
      <x:c r="V408" s="8" t="str">
        <x:v>事情做不完，饭总要好好吃。这杯敬大家，祝我们忙有所得，闲有所乐。</x:v>
      </x:c>
      <x:c r="W408" s="8" t="str">
        <x:v>事情一件接一件，今天既然坐到一起，就先把这顿饭吃好。我敬各位，祝工作上的认真都有回报，也祝下班以后的日子有意思，别总把好心情留到放假。</x:v>
      </x:c>
      <x:c r="X408" s="8" t="str">
        <x:v>spoken</x:v>
      </x:c>
      <x:c r="Y408" s="8" t="str">
        <x:v>plain</x:v>
      </x:c>
      <x:c r="Z408" s="8" t="str"/>
      <x:c r="AA408" s="12" t="str"/>
    </x:row>
    <x:row r="409" ht="42" customHeight="1">
      <x:c r="A409" s="9" t="str">
        <x:v>spoken-colleagues-05</x:v>
      </x:c>
      <x:c r="B409" s="11" t="n">
        <x:v>1</x:v>
      </x:c>
      <x:c r="C409" s="9" t="str">
        <x:v>当前推荐</x:v>
      </x:c>
      <x:c r="D409" s="9" t="str">
        <x:v>领导同事</x:v>
      </x:c>
      <x:c r="E409" s="9" t="str">
        <x:v>全桌</x:v>
      </x:c>
      <x:c r="F409" s="9" t="str">
        <x:v>饭桌上也多认识一点</x:v>
      </x:c>
      <x:c r="G409" s="9" t="str">
        <x:v>借“一觞一咏”的意思，今天咱们好好聊聊。工作上是同事，饭桌上也多认识彼此一点。</x:v>
      </x:c>
      <x:c r="H409" s="9" t="str">
        <x:v>借“一觞一咏”，给今天这顿饭添点雅兴。平时大家看见的是彼此忙工作的样子，今天也聊聊各自的生活。这杯敬大家，祝各位工作顺心，回到家也舒心。</x:v>
      </x:c>
      <x:c r="I409" s="9" t="str">
        <x:v>To the people behind the job titles, and to happy days at work and at home.</x:v>
      </x:c>
      <x:c r="J409" s="9" t="str">
        <x:v>敬工作身份之外的每一个人，也祝工作和生活都顺心。</x:v>
      </x:c>
      <x:c r="K409" s="9" t="str">
        <x:v>lanting</x:v>
      </x:c>
      <x:c r="L409" s="9" t="str">
        <x:v>王羲之《兰亭集序》</x:v>
      </x:c>
      <x:c r="M409" s="9" t="str">
        <x:v>一觞一咏，亦足以畅叙幽情。</x:v>
      </x:c>
      <x:c r="N409" s="9" t="str">
        <x:v>目光照顾全桌；普通同事说自己的感受，不替团队作承诺。</x:v>
      </x:c>
      <x:c r="O409" s="9" t="str">
        <x:v>未限定</x:v>
      </x:c>
      <x:c r="P409" s="9" t="str">
        <x:v>未限定</x:v>
      </x:c>
      <x:c r="Q409" s="9" t="str">
        <x:v>未限定</x:v>
      </x:c>
      <x:c r="R409" s="9" t="str">
        <x:v>引句后整理</x:v>
      </x:c>
      <x:c r="S409" s="9" t="str">
        <x:v>雅致</x:v>
      </x:c>
      <x:c r="T409" s="9" t="str">
        <x:v>杯里是茶，祝福一样认真。</x:v>
      </x:c>
      <x:c r="U409" s="9" t="str">
        <x:v>I’m raising a cup of tea, with the same warm wishes.</x:v>
      </x:c>
      <x:c r="V409" s="9" t="str">
        <x:v>借“一觞一咏”的意思，今天咱们好好聊聊。工作上是同事，饭桌上也多认识彼此一点。</x:v>
      </x:c>
      <x:c r="W409" s="9" t="str">
        <x:v>借“一觞一咏”，给今天这顿饭添点雅兴。平时大家看见的是彼此忙工作的样子，今天也聊聊各自的生活。这杯敬大家，祝各位工作顺心，回到家也舒心。</x:v>
      </x:c>
      <x:c r="X409" s="9" t="str">
        <x:v>spoken</x:v>
      </x:c>
      <x:c r="Y409" s="9" t="str">
        <x:v>verse</x:v>
      </x:c>
      <x:c r="Z409" s="9" t="str"/>
      <x:c r="AA409" s="12" t="str"/>
    </x:row>
    <x:row r="410" ht="42" customHeight="1">
      <x:c r="A410" s="8" t="str">
        <x:v>spoken-colleagues-07</x:v>
      </x:c>
      <x:c r="B410" s="10" t="n">
        <x:v>1</x:v>
      </x:c>
      <x:c r="C410" s="8" t="str">
        <x:v>当前推荐</x:v>
      </x:c>
      <x:c r="D410" s="8" t="str">
        <x:v>领导同事</x:v>
      </x:c>
      <x:c r="E410" s="8" t="str">
        <x:v>全桌</x:v>
      </x:c>
      <x:c r="F410" s="8" t="str">
        <x:v>今天先聊点轻松的</x:v>
      </x:c>
      <x:c r="G410" s="8" t="str">
        <x:v>开会咱们讲重点，吃饭咱们讲开心。这杯敬大家，今天先聊点轻松的。</x:v>
      </x:c>
      <x:c r="H410" s="8" t="str">
        <x:v>平时在工作群里，大家都挺有效率；今天坐饭桌上，咱们就别赶进度了。我敬各位，祝手头的难题少一点，生活里的乐子多一点，饭还得好好吃。</x:v>
      </x:c>
      <x:c r="I410" s="8" t="str">
        <x:v>Less rushing today, more good conversation. Cheers to all of you!</x:v>
      </x:c>
      <x:c r="J410" s="8" t="str">
        <x:v>今天少一点赶进度，多一点好交谈，敬大家。</x:v>
      </x:c>
      <x:c r="K410" s="8" t="str">
        <x:v>rhythm</x:v>
      </x:c>
      <x:c r="L410" s="8" t="str">
        <x:v>把话写给耳朵听</x:v>
      </x:c>
      <x:c r="M410" s="8" t="str"/>
      <x:c r="N410" s="8" t="str">
        <x:v>目光照顾全桌；普通同事说自己的感受，不替团队作承诺。</x:v>
      </x:c>
      <x:c r="O410" s="8" t="str">
        <x:v>未限定</x:v>
      </x:c>
      <x:c r="P410" s="8" t="str">
        <x:v>未限定</x:v>
      </x:c>
      <x:c r="Q410" s="8" t="str">
        <x:v>未限定</x:v>
      </x:c>
      <x:c r="R410" s="8" t="str">
        <x:v>依据表达方法整理</x:v>
      </x:c>
      <x:c r="S410" s="8" t="str">
        <x:v>诙谐</x:v>
      </x:c>
      <x:c r="T410" s="8" t="str">
        <x:v>今天我以茶代酒，心意都在。</x:v>
      </x:c>
      <x:c r="U410" s="8" t="str">
        <x:v>I’m raising a cup of tea, with the same warm wishes.</x:v>
      </x:c>
      <x:c r="V410" s="8" t="str">
        <x:v>开会咱们讲重点，吃饭咱们讲开心。这杯敬大家，今天先聊点轻松的。</x:v>
      </x:c>
      <x:c r="W410" s="8" t="str">
        <x:v>平时在工作群里，大家都挺有效率；今天坐饭桌上，咱们就别赶进度了。我敬各位，祝手头的难题少一点，生活里的乐子多一点，饭还得好好吃。</x:v>
      </x:c>
      <x:c r="X410" s="8" t="str">
        <x:v>spoken</x:v>
      </x:c>
      <x:c r="Y410" s="8" t="str">
        <x:v>fun</x:v>
      </x:c>
      <x:c r="Z410" s="8" t="str"/>
      <x:c r="AA410" s="12" t="str"/>
    </x:row>
    <x:row r="411" ht="42" customHeight="1">
      <x:c r="A411" s="9" t="str">
        <x:v>spoken-colleagues-08</x:v>
      </x:c>
      <x:c r="B411" s="11" t="n">
        <x:v>1</x:v>
      </x:c>
      <x:c r="C411" s="9" t="str">
        <x:v>当前推荐</x:v>
      </x:c>
      <x:c r="D411" s="9" t="str">
        <x:v>领导同事</x:v>
      </x:c>
      <x:c r="E411" s="9" t="str">
        <x:v>全桌</x:v>
      </x:c>
      <x:c r="F411" s="9" t="str">
        <x:v>这次不发长消息</x:v>
      </x:c>
      <x:c r="G411" s="9" t="str">
        <x:v>这次我不发长消息，直接碰个杯：祝各位工作有好结果，下班有好节目！</x:v>
      </x:c>
      <x:c r="H411" s="9" t="str">
        <x:v>我今天这段发言，就按“短消息”来：祝大家工作有好结果，下班有好节目，周末有好心情。说完了，来，敬各位，咱们接着吃。</x:v>
      </x:c>
      <x:c r="I411" s="9" t="str">
        <x:v>Good results at work, good plans after work, and a cheerful weekend. Cheers!</x:v>
      </x:c>
      <x:c r="J411" s="9" t="str">
        <x:v>祝工作有好结果，下班有好安排，周末有好心情。</x:v>
      </x:c>
      <x:c r="K411" s="9" t="str">
        <x:v>rhythm</x:v>
      </x:c>
      <x:c r="L411" s="9" t="str">
        <x:v>把话写给耳朵听</x:v>
      </x:c>
      <x:c r="M411" s="9" t="str"/>
      <x:c r="N411" s="9" t="str">
        <x:v>目光照顾全桌；普通同事说自己的感受，不替团队作承诺。</x:v>
      </x:c>
      <x:c r="O411" s="9" t="str">
        <x:v>未限定</x:v>
      </x:c>
      <x:c r="P411" s="9" t="str">
        <x:v>未限定</x:v>
      </x:c>
      <x:c r="Q411" s="9" t="str">
        <x:v>未限定</x:v>
      </x:c>
      <x:c r="R411" s="9" t="str">
        <x:v>依据表达方法整理</x:v>
      </x:c>
      <x:c r="S411" s="9" t="str">
        <x:v>诙谐</x:v>
      </x:c>
      <x:c r="T411" s="9" t="str">
        <x:v>杯里是茶，祝福一样认真。</x:v>
      </x:c>
      <x:c r="U411" s="9" t="str">
        <x:v>I’m raising a cup of tea, with the same warm wishes.</x:v>
      </x:c>
      <x:c r="V411" s="9" t="str">
        <x:v>这次我不发长消息，直接碰个杯：祝各位工作有好结果，下班有好节目！</x:v>
      </x:c>
      <x:c r="W411" s="9" t="str">
        <x:v>我今天这段发言，就按“短消息”来：祝大家工作有好结果，下班有好节目，周末有好心情。说完了，来，敬各位，咱们接着吃。</x:v>
      </x:c>
      <x:c r="X411" s="9" t="str">
        <x:v>spoken</x:v>
      </x:c>
      <x:c r="Y411" s="9" t="str">
        <x:v>fun</x:v>
      </x:c>
      <x:c r="Z411" s="9" t="str"/>
      <x:c r="AA411" s="12" t="str"/>
    </x:row>
    <x:row r="412" ht="42" customHeight="1">
      <x:c r="A412" s="8" t="str">
        <x:v>spoken-colleagues-09</x:v>
      </x:c>
      <x:c r="B412" s="10" t="n">
        <x:v>1</x:v>
      </x:c>
      <x:c r="C412" s="8" t="str">
        <x:v>当前推荐</x:v>
      </x:c>
      <x:c r="D412" s="8" t="str">
        <x:v>领导同事</x:v>
      </x:c>
      <x:c r="E412" s="8" t="str">
        <x:v>全桌</x:v>
      </x:c>
      <x:c r="F412" s="8" t="str">
        <x:v>多体谅，也多照应</x:v>
      </x:c>
      <x:c r="G412" s="8" t="str">
        <x:v>做事各有各的认真，相处也多一分体谅。这杯敬大家，祝我们工作顺利，生活松快。</x:v>
      </x:c>
      <x:c r="H412" s="8" t="str">
        <x:v>同事之间，事情要认真做，人也要好好相处。这杯我敬大家，愿咱们有话好商量，有难处能体谅；工作做得顺，生活也能过得松快些。</x:v>
      </x:c>
      <x:c r="I412" s="8" t="str">
        <x:v>To thoughtful teamwork and treating one another with patience.</x:v>
      </x:c>
      <x:c r="J412" s="8" t="str">
        <x:v>敬用心共事，也愿彼此多一分耐心。</x:v>
      </x:c>
      <x:c r="K412" s="8" t="str">
        <x:v>thanks</x:v>
      </x:c>
      <x:c r="L412" s="8" t="str">
        <x:v>感谢要有落点</x:v>
      </x:c>
      <x:c r="M412" s="8" t="str"/>
      <x:c r="N412" s="8" t="str">
        <x:v>目光照顾全桌；普通同事说自己的感受，不替团队作承诺。</x:v>
      </x:c>
      <x:c r="O412" s="8" t="str">
        <x:v>未限定</x:v>
      </x:c>
      <x:c r="P412" s="8" t="str">
        <x:v>未限定</x:v>
      </x:c>
      <x:c r="Q412" s="8" t="str">
        <x:v>未限定</x:v>
      </x:c>
      <x:c r="R412" s="8" t="str">
        <x:v>依据表达方法整理</x:v>
      </x:c>
      <x:c r="S412" s="8" t="str">
        <x:v>雅致</x:v>
      </x:c>
      <x:c r="T412" s="8" t="str">
        <x:v>我用茶陪大家，咱们自在就好。</x:v>
      </x:c>
      <x:c r="U412" s="8" t="str">
        <x:v>I’m raising a cup of tea, with the same warm wishes.</x:v>
      </x:c>
      <x:c r="V412" s="8" t="str">
        <x:v>做事各有各的认真，相处也多一分体谅。这杯敬大家，祝我们工作顺利，生活松快。</x:v>
      </x:c>
      <x:c r="W412" s="8" t="str">
        <x:v>同事之间，事情要认真做，人也要好好相处。这杯我敬大家，愿咱们有话好商量，有难处能体谅；工作做得顺，生活也能过得松快些。</x:v>
      </x:c>
      <x:c r="X412" s="8" t="str">
        <x:v>spoken</x:v>
      </x:c>
      <x:c r="Y412" s="8" t="str">
        <x:v>plain</x:v>
      </x:c>
      <x:c r="Z412" s="8" t="str"/>
      <x:c r="AA412" s="12" t="str"/>
    </x:row>
    <x:row r="413" ht="42" customHeight="1">
      <x:c r="A413" s="9" t="str">
        <x:v>spoken-colleagues-11</x:v>
      </x:c>
      <x:c r="B413" s="11" t="n">
        <x:v>1</x:v>
      </x:c>
      <x:c r="C413" s="9" t="str">
        <x:v>当前推荐</x:v>
      </x:c>
      <x:c r="D413" s="9" t="str">
        <x:v>领导同事</x:v>
      </x:c>
      <x:c r="E413" s="9" t="str">
        <x:v>全桌</x:v>
      </x:c>
      <x:c r="F413" s="9" t="str">
        <x:v>饭桌上不催回复</x:v>
      </x:c>
      <x:c r="G413" s="9" t="str">
        <x:v>今天坐饭桌上，我就不催大家回复消息了。来，祝各位吃得香，手头的事都顺当。</x:v>
      </x:c>
      <x:c r="H413" s="9" t="str">
        <x:v>平时消息一多，手机总放不下。今天既然坐在一桌，我先把祝福当面送到：工作顺，身体好，今天这顿饭也吃高兴。来，敬大家。</x:v>
      </x:c>
      <x:c r="I413" s="9" t="str">
        <x:v>Here are my good wishes in person: good work, good health, and a happy dinner.</x:v>
      </x:c>
      <x:c r="J413" s="9" t="str">
        <x:v>祝福当面送到：祝工作顺利、身体好、这顿饭吃得开心。</x:v>
      </x:c>
      <x:c r="K413" s="9" t="str">
        <x:v>rhythm</x:v>
      </x:c>
      <x:c r="L413" s="9" t="str">
        <x:v>把话写给耳朵听</x:v>
      </x:c>
      <x:c r="M413" s="9" t="str"/>
      <x:c r="N413" s="9" t="str">
        <x:v>目光照顾全桌；普通同事说自己的感受，不替团队作承诺。</x:v>
      </x:c>
      <x:c r="O413" s="9" t="str">
        <x:v>未限定</x:v>
      </x:c>
      <x:c r="P413" s="9" t="str">
        <x:v>未限定</x:v>
      </x:c>
      <x:c r="Q413" s="9" t="str">
        <x:v>未限定</x:v>
      </x:c>
      <x:c r="R413" s="9" t="str">
        <x:v>依据表达方法整理</x:v>
      </x:c>
      <x:c r="S413" s="9" t="str">
        <x:v>诙谐</x:v>
      </x:c>
      <x:c r="T413" s="9" t="str">
        <x:v>杯里是茶，祝福一样认真。</x:v>
      </x:c>
      <x:c r="U413" s="9" t="str">
        <x:v>I’m raising a cup of tea, with the same warm wishes.</x:v>
      </x:c>
      <x:c r="V413" s="9" t="str">
        <x:v>今天坐饭桌上，我就不催大家回复消息了。来，祝各位吃得香，手头的事都顺当。</x:v>
      </x:c>
      <x:c r="W413" s="9" t="str">
        <x:v>平时消息一多，手机总放不下。今天既然坐在一桌，我先把祝福当面送到：工作顺，身体好，今天这顿饭也吃高兴。来，敬大家。</x:v>
      </x:c>
      <x:c r="X413" s="9" t="str">
        <x:v>spoken</x:v>
      </x:c>
      <x:c r="Y413" s="9" t="str">
        <x:v>fun</x:v>
      </x:c>
      <x:c r="Z413" s="9" t="str"/>
      <x:c r="AA413" s="12" t="str"/>
    </x:row>
    <x:row r="414" ht="42" customHeight="1">
      <x:c r="A414" s="8" t="str">
        <x:v>spoken-colleagues-12</x:v>
      </x:c>
      <x:c r="B414" s="10" t="n">
        <x:v>1</x:v>
      </x:c>
      <x:c r="C414" s="8" t="str">
        <x:v>当前推荐</x:v>
      </x:c>
      <x:c r="D414" s="8" t="str">
        <x:v>领导同事</x:v>
      </x:c>
      <x:c r="E414" s="8" t="str">
        <x:v>全桌</x:v>
      </x:c>
      <x:c r="F414" s="8" t="str">
        <x:v>好饭也得认真吃</x:v>
      </x:c>
      <x:c r="G414" s="8" t="str">
        <x:v>认真工作的本事有了，认真吃饭也别落下。这杯祝大家工作有成绩，生活有胃口。</x:v>
      </x:c>
      <x:c r="H414" s="8" t="str">
        <x:v>有些事值得认真，吃顿好饭也算一件。今天我敬各位，祝工作有成绩，生活有胃口，忙过这一阵，还能给喜欢的事情留点时间。</x:v>
      </x:c>
      <x:c r="I414" s="8" t="str">
        <x:v>To taking work seriously and enjoying the rest of life just as much.</x:v>
      </x:c>
      <x:c r="J414" s="8" t="str">
        <x:v>敬认真工作，也愿同样认真享受生活。</x:v>
      </x:c>
      <x:c r="K414" s="8" t="str">
        <x:v>rhythm</x:v>
      </x:c>
      <x:c r="L414" s="8" t="str">
        <x:v>把话写给耳朵听</x:v>
      </x:c>
      <x:c r="M414" s="8" t="str"/>
      <x:c r="N414" s="8" t="str">
        <x:v>目光照顾全桌；普通同事说自己的感受，不替团队作承诺。</x:v>
      </x:c>
      <x:c r="O414" s="8" t="str">
        <x:v>未限定</x:v>
      </x:c>
      <x:c r="P414" s="8" t="str">
        <x:v>未限定</x:v>
      </x:c>
      <x:c r="Q414" s="8" t="str">
        <x:v>未限定</x:v>
      </x:c>
      <x:c r="R414" s="8" t="str">
        <x:v>依据表达方法整理</x:v>
      </x:c>
      <x:c r="S414" s="8" t="str">
        <x:v>诙谐</x:v>
      </x:c>
      <x:c r="T414" s="8" t="str">
        <x:v>我用茶陪大家，咱们自在就好。</x:v>
      </x:c>
      <x:c r="U414" s="8" t="str">
        <x:v>I’m raising a cup of tea, with the same warm wishes.</x:v>
      </x:c>
      <x:c r="V414" s="8" t="str">
        <x:v>认真工作的本事有了，认真吃饭也别落下。这杯祝大家工作有成绩，生活有胃口。</x:v>
      </x:c>
      <x:c r="W414" s="8" t="str">
        <x:v>有些事值得认真，吃顿好饭也算一件。今天我敬各位，祝工作有成绩，生活有胃口，忙过这一阵，还能给喜欢的事情留点时间。</x:v>
      </x:c>
      <x:c r="X414" s="8" t="str">
        <x:v>spoken</x:v>
      </x:c>
      <x:c r="Y414" s="8" t="str">
        <x:v>fun</x:v>
      </x:c>
      <x:c r="Z414" s="8" t="str"/>
      <x:c r="AA414" s="12" t="str"/>
    </x:row>
    <x:row r="415" ht="57" customHeight="1">
      <x:c r="A415" s="9" t="str">
        <x:v>verse-bai-history</x:v>
      </x:c>
      <x:c r="B415" s="11" t="n">
        <x:v>1</x:v>
      </x:c>
      <x:c r="C415" s="9" t="str">
        <x:v>当前推荐</x:v>
      </x:c>
      <x:c r="D415" s="9" t="str">
        <x:v>领导同事</x:v>
      </x:c>
      <x:c r="E415" s="9" t="str">
        <x:v>全桌</x:v>
      </x:c>
      <x:c r="F415" s="9" t="str">
        <x:v>有见识，也有好兴致</x:v>
      </x:c>
      <x:c r="G415" s="9" t="str">
        <x:v>“闲征雅令穷经史，醉听清吟胜管弦。”古人席上聊经史，咱们今天也多聊点工作之外的见闻。敬各位的见识，也敬这一桌好兴致。</x:v>
      </x:c>
      <x:c r="H415" s="9" t="str">
        <x:v>白居易写朋友相聚：“闲征雅令穷经史，醉听清吟胜管弦。”诗里不只写喝酒，也写聊得投缘、各有见识。今天能同桌，我也想多听听大家工作之外的故事。这杯敬各位，愿共事多一分了解，相处多一点趣味，忙碌之外也有好兴致。</x:v>
      </x:c>
      <x:c r="I415" s="9" t="str">
        <x:v>To the stories and knowledge each of us brings, and to knowing the people beyond their work.</x:v>
      </x:c>
      <x:c r="J415" s="9" t="str">
        <x:v>敬各位的故事与见识，也愿工作之外多了解彼此。</x:v>
      </x:c>
      <x:c r="K415" s="9" t="str">
        <x:v>poem-bai-history</x:v>
      </x:c>
      <x:c r="L415" s="9" t="str">
        <x:v>白居易《与梦得沽酒闲饮，且约后期》</x:v>
      </x:c>
      <x:c r="M415" s="9" t="str">
        <x:v>闲征雅令穷经史，醉听清吟胜管弦。</x:v>
      </x:c>
      <x:c r="N415" s="9" t="str">
        <x:v>原诗朋友以经史作雅令、以诗助兴；取交谈见闻的趣味，不要求背书作诗或饮醉。</x:v>
      </x:c>
      <x:c r="O415" s="9" t="str">
        <x:v>邀饮待客、好友知己</x:v>
      </x:c>
      <x:c r="P415" s="9" t="str">
        <x:v>未限定</x:v>
      </x:c>
      <x:c r="Q415" s="9" t="str">
        <x:v>未限定</x:v>
      </x:c>
      <x:c r="R415" s="9" t="str">
        <x:v>引句后整理</x:v>
      </x:c>
      <x:c r="S415" s="9" t="str">
        <x:v>雅致</x:v>
      </x:c>
      <x:c r="T415" s="9" t="str">
        <x:v>我以茶代酒，心意一样。</x:v>
      </x:c>
      <x:c r="U415" s="9" t="str">
        <x:v>With tea in my cup and the same warm wishes.</x:v>
      </x:c>
      <x:c r="V415" s="9" t="str">
        <x:v>“闲征雅令穷经史，醉听清吟胜管弦。”古人席上聊经史，咱们今天也多聊点工作之外的见闻。敬各位的见识，也敬这一桌好兴致。</x:v>
      </x:c>
      <x:c r="W415" s="9" t="str">
        <x:v>白居易写朋友相聚：“闲征雅令穷经史，醉听清吟胜管弦。”诗里不只写喝酒，也写聊得投缘、各有见识。今天能同桌，我也想多听听大家工作之外的故事。这杯敬各位，愿共事多一分了解，相处多一点趣味，忙碌之外也有好兴致。</x:v>
      </x:c>
      <x:c r="X415" s="9" t="str">
        <x:v>spoken</x:v>
      </x:c>
      <x:c r="Y415" s="9" t="str">
        <x:v>verse</x:v>
      </x:c>
      <x:c r="Z415" s="9" t="str"/>
      <x:c r="AA415" s="12" t="str"/>
    </x:row>
    <x:row r="416" ht="57" customHeight="1">
      <x:c r="A416" s="8" t="str">
        <x:v>verse-lu-tea</x:v>
      </x:c>
      <x:c r="B416" s="10" t="n">
        <x:v>1</x:v>
      </x:c>
      <x:c r="C416" s="8" t="str">
        <x:v>当前推荐</x:v>
      </x:c>
      <x:c r="D416" s="8" t="str">
        <x:v>领导同事</x:v>
      </x:c>
      <x:c r="E416" s="8" t="str">
        <x:v>全桌</x:v>
      </x:c>
      <x:c r="F416" s="8" t="str">
        <x:v>认真之外，也有闲趣</x:v>
      </x:c>
      <x:c r="G416" s="8" t="str">
        <x:v>“矮纸斜行闲作草，晴窗细乳戏分茶。”做事认真，也别把生活过得只剩做事。这杯敬大家，愿工作有好结果，闲下来也有自己的小兴致。</x:v>
      </x:c>
      <x:c r="H416" s="8" t="str">
        <x:v>陆游写“矮纸斜行闲作草，晴窗细乳戏分茶”，在忙乱的人生里，留了一点写字、喝茶的闲趣。今天敬各位，也送一份这样的祝愿：工作认真做，饭也认真吃；手头有好结果，心里有小欢喜，别总把轻松留到很久以后。</x:v>
      </x:c>
      <x:c r="I416" s="8" t="str">
        <x:v>To good work, small pleasures, and making room for a life we enjoy beyond our responsibilities.</x:v>
      </x:c>
      <x:c r="J416" s="8" t="str">
        <x:v>敬把事做好，也愿责任之外留有自己的小欢喜。</x:v>
      </x:c>
      <x:c r="K416" s="8" t="str">
        <x:v>poem-lu-tea</x:v>
      </x:c>
      <x:c r="L416" s="8" t="str">
        <x:v>陆游《临安春雨初霁》</x:v>
      </x:c>
      <x:c r="M416" s="8" t="str">
        <x:v>矮纸斜行闲作草，晴窗细乳戏分茶。</x:v>
      </x:c>
      <x:c r="N416" s="8" t="str">
        <x:v>原诗临安客居中有烦闷，也有作草分茶的闲景；只取片刻闲趣，不说全诗是安逸生活。</x:v>
      </x:c>
      <x:c r="O416" s="8" t="str">
        <x:v>邀饮待客、好友知己</x:v>
      </x:c>
      <x:c r="P416" s="8" t="str">
        <x:v>未限定</x:v>
      </x:c>
      <x:c r="Q416" s="8" t="str">
        <x:v>未限定</x:v>
      </x:c>
      <x:c r="R416" s="8" t="str">
        <x:v>引句后整理</x:v>
      </x:c>
      <x:c r="S416" s="8" t="str">
        <x:v>雅致</x:v>
      </x:c>
      <x:c r="T416" s="8" t="str">
        <x:v>我以茶代酒，心意一样。</x:v>
      </x:c>
      <x:c r="U416" s="8" t="str">
        <x:v>With tea in my cup and the same warm wishes.</x:v>
      </x:c>
      <x:c r="V416" s="8" t="str">
        <x:v>“矮纸斜行闲作草，晴窗细乳戏分茶。”做事认真，也别把生活过得只剩做事。这杯敬大家，愿工作有好结果，闲下来也有自己的小兴致。</x:v>
      </x:c>
      <x:c r="W416" s="8" t="str">
        <x:v>陆游写“矮纸斜行闲作草，晴窗细乳戏分茶”，在忙乱的人生里，留了一点写字、喝茶的闲趣。今天敬各位，也送一份这样的祝愿：工作认真做，饭也认真吃；手头有好结果，心里有小欢喜，别总把轻松留到很久以后。</x:v>
      </x:c>
      <x:c r="X416" s="8" t="str">
        <x:v>spoken</x:v>
      </x:c>
      <x:c r="Y416" s="8" t="str">
        <x:v>verse</x:v>
      </x:c>
      <x:c r="Z416" s="8" t="str"/>
      <x:c r="AA416" s="12" t="str"/>
    </x:row>
    <x:row r="417" ht="57" customHeight="1">
      <x:c r="A417" s="9" t="str">
        <x:v>verse-tao-reading</x:v>
      </x:c>
      <x:c r="B417" s="11" t="n">
        <x:v>1</x:v>
      </x:c>
      <x:c r="C417" s="9" t="str">
        <x:v>当前推荐</x:v>
      </x:c>
      <x:c r="D417" s="9" t="str">
        <x:v>领导同事</x:v>
      </x:c>
      <x:c r="E417" s="9" t="str">
        <x:v>全桌</x:v>
      </x:c>
      <x:c r="F417" s="9" t="str">
        <x:v>各有见识，彼此添光</x:v>
      </x:c>
      <x:c r="G417" s="9" t="str">
        <x:v>“奇文共欣赏，疑义相与析。”共事的好，也在各有见识、遇事能商量。这杯敬各位，愿相处多些理解，做事多些默契。</x:v>
      </x:c>
      <x:c r="H417" s="9" t="str">
        <x:v>“奇文共欣赏，疑义相与析。”陶渊明说邻里相处，好的文章一起看，不明白的地方一起聊。我觉得共事也有这样的好处：各有见识，彼此启发。今天这杯敬大家，愿做事能商量，相处能体谅，把各自的长处，慢慢合成一起向前的力气。</x:v>
      </x:c>
      <x:c r="I417" s="9" t="str">
        <x:v>To different perspectives, thoughtful discussion, and the understanding that helps us work well together.</x:v>
      </x:c>
      <x:c r="J417" s="9" t="str">
        <x:v>敬不同见识与认真商量，也愿共事更加默契。</x:v>
      </x:c>
      <x:c r="K417" s="9" t="str">
        <x:v>poem-tao-reading</x:v>
      </x:c>
      <x:c r="L417" s="9" t="str">
        <x:v>陶渊明《移居二首·其一》</x:v>
      </x:c>
      <x:c r="M417" s="9" t="str">
        <x:v>奇文共欣赏，疑义相与析。</x:v>
      </x:c>
      <x:c r="N417" s="9" t="str">
        <x:v>原诗写移居后与邻里谈论文章；取各有所见、共同讨论，不把不同意见变成席间考问。</x:v>
      </x:c>
      <x:c r="O417" s="9" t="str">
        <x:v>好友知己、邀饮待客</x:v>
      </x:c>
      <x:c r="P417" s="9" t="str">
        <x:v>未限定</x:v>
      </x:c>
      <x:c r="Q417" s="9" t="str">
        <x:v>未限定</x:v>
      </x:c>
      <x:c r="R417" s="9" t="str">
        <x:v>引句后整理</x:v>
      </x:c>
      <x:c r="S417" s="9" t="str">
        <x:v>雅致</x:v>
      </x:c>
      <x:c r="T417" s="9" t="str">
        <x:v>我以茶代酒，心意一样。</x:v>
      </x:c>
      <x:c r="U417" s="9" t="str">
        <x:v>With tea in my cup and the same warm wishes.</x:v>
      </x:c>
      <x:c r="V417" s="9" t="str">
        <x:v>“奇文共欣赏，疑义相与析。”共事的好，也在各有见识、遇事能商量。这杯敬各位，愿相处多些理解，做事多些默契。</x:v>
      </x:c>
      <x:c r="W417" s="9" t="str">
        <x:v>“奇文共欣赏，疑义相与析。”陶渊明说邻里相处，好的文章一起看，不明白的地方一起聊。我觉得共事也有这样的好处：各有见识，彼此启发。今天这杯敬大家，愿做事能商量，相处能体谅，把各自的长处，慢慢合成一起向前的力气。</x:v>
      </x:c>
      <x:c r="X417" s="9" t="str">
        <x:v>spoken</x:v>
      </x:c>
      <x:c r="Y417" s="9" t="str">
        <x:v>verse</x:v>
      </x:c>
      <x:c r="Z417" s="9" t="str"/>
      <x:c r="AA417" s="12" t="str"/>
    </x:row>
    <x:row r="418" ht="57" customHeight="1">
      <x:c r="A418" s="8" t="str">
        <x:v>work-table-01</x:v>
      </x:c>
      <x:c r="B418" s="10" t="n">
        <x:v>1</x:v>
      </x:c>
      <x:c r="C418" s="8" t="str">
        <x:v>当前推荐</x:v>
      </x:c>
      <x:c r="D418" s="8" t="str">
        <x:v>领导同事</x:v>
      </x:c>
      <x:c r="E418" s="8" t="str">
        <x:v>全桌</x:v>
      </x:c>
      <x:c r="F418" s="8" t="str">
        <x:v>同席，也同行</x:v>
      </x:c>
      <x:c r="G418" s="8" t="str">
        <x:v>敬前辈的见识，敬同事的用心；愿我们议事有方，行事有成。
借这一杯，敬大家。</x:v>
      </x:c>
      <x:c r="H418" s="8" t="str">
        <x:v>今天借这一杯，敬前辈的见识，也敬同事的用心。同席是缘分，同行靠彼此。愿我们往后议事有方、行事有成；各尽所长，也相互成全。
借这一杯，敬大家。</x:v>
      </x:c>
      <x:c r="I418" s="8" t="str">
        <x:v>To shared effort, thoughtful guidance, and good work ahead.</x:v>
      </x:c>
      <x:c r="J418" s="8" t="str">
        <x:v>敬共同的努力、用心的指引，也祝未来工作顺利。</x:v>
      </x:c>
      <x:c r="K418" s="8" t="str">
        <x:v>thanks</x:v>
      </x:c>
      <x:c r="L418" s="8" t="str">
        <x:v>感谢要有落点</x:v>
      </x:c>
      <x:c r="M418" s="8" t="str"/>
      <x:c r="N418" s="8" t="str">
        <x:v>敬全桌时目光照顾大家，不只望着领导。</x:v>
      </x:c>
      <x:c r="O418" s="8" t="str">
        <x:v>未限定</x:v>
      </x:c>
      <x:c r="P418" s="8" t="str">
        <x:v>未限定</x:v>
      </x:c>
      <x:c r="Q418" s="8" t="str">
        <x:v>未限定</x:v>
      </x:c>
      <x:c r="R418" s="8" t="str">
        <x:v>依据表达方法整理</x:v>
      </x:c>
      <x:c r="S418" s="8" t="str">
        <x:v>雅致</x:v>
      </x:c>
      <x:c r="T418" s="8" t="str"/>
      <x:c r="U418" s="8" t="str"/>
      <x:c r="V418" s="8" t="str">
        <x:v>敬前辈的见识，敬同事的用心；愿我们议事有方，行事有成。</x:v>
      </x:c>
      <x:c r="W418" s="8" t="str">
        <x:v>今天借这一杯，敬前辈的见识，也敬同事的用心。同席是缘分，同行靠彼此。愿我们往后议事有方、行事有成；各尽所长，也相互成全。</x:v>
      </x:c>
      <x:c r="X418" s="8" t="str"/>
      <x:c r="Y418" s="8" t="str"/>
      <x:c r="Z418" s="8" t="str"/>
      <x:c r="AA418" s="12" t="str"/>
    </x:row>
    <x:row r="419" ht="57" customHeight="1">
      <x:c r="A419" s="9" t="str">
        <x:v>work-table-02</x:v>
      </x:c>
      <x:c r="B419" s="11" t="n">
        <x:v>1</x:v>
      </x:c>
      <x:c r="C419" s="9" t="str">
        <x:v>当前推荐</x:v>
      </x:c>
      <x:c r="D419" s="9" t="str">
        <x:v>领导同事</x:v>
      </x:c>
      <x:c r="E419" s="9" t="str">
        <x:v>全桌</x:v>
      </x:c>
      <x:c r="F419" s="9" t="str">
        <x:v>把敬意给全桌</x:v>
      </x:c>
      <x:c r="G419" s="9" t="str">
        <x:v>一席相聚，多一分了解；一路同行，多一分照应。愿大家所谋有成，所行有得。
借这一杯，敬大家。</x:v>
      </x:c>
      <x:c r="H419" s="9" t="str">
        <x:v>一席相聚，多一分了解；一路同行，多一分照应。借今天这杯，向在座各位致意。愿我们做事有章法，相处有温度；把眼前的事做好，也把往后的路走稳。
借这一杯，敬大家。</x:v>
      </x:c>
      <x:c r="I419" s="9" t="str">
        <x:v>To understanding one another and moving forward together.</x:v>
      </x:c>
      <x:c r="J419" s="9" t="str">
        <x:v>敬彼此了解，也祝一路同行。</x:v>
      </x:c>
      <x:c r="K419" s="9" t="str">
        <x:v>rhythm</x:v>
      </x:c>
      <x:c r="L419" s="9" t="str">
        <x:v>把话写给耳朵听</x:v>
      </x:c>
      <x:c r="M419" s="9" t="str"/>
      <x:c r="N419" s="9" t="str">
        <x:v>普通参与者口吻，不代表公司宣布目标。</x:v>
      </x:c>
      <x:c r="O419" s="9" t="str">
        <x:v>未限定</x:v>
      </x:c>
      <x:c r="P419" s="9" t="str">
        <x:v>未限定</x:v>
      </x:c>
      <x:c r="Q419" s="9" t="str">
        <x:v>未限定</x:v>
      </x:c>
      <x:c r="R419" s="9" t="str">
        <x:v>依据表达方法整理</x:v>
      </x:c>
      <x:c r="S419" s="9" t="str">
        <x:v>雅致</x:v>
      </x:c>
      <x:c r="T419" s="9" t="str"/>
      <x:c r="U419" s="9" t="str"/>
      <x:c r="V419" s="9" t="str">
        <x:v>一席相聚，多一分了解；一路同行，多一分照应。愿大家所谋有成，所行有得。</x:v>
      </x:c>
      <x:c r="W419" s="9" t="str">
        <x:v>一席相聚，多一分了解；一路同行，多一分照应。借今天这杯，向在座各位致意。愿我们做事有章法，相处有温度；把眼前的事做好，也把往后的路走稳。</x:v>
      </x:c>
      <x:c r="X419" s="9" t="str"/>
      <x:c r="Y419" s="9" t="str"/>
      <x:c r="Z419" s="9" t="str"/>
      <x:c r="AA419" s="12" t="str"/>
    </x:row>
    <x:row r="420" ht="57" customHeight="1">
      <x:c r="A420" s="8" t="str">
        <x:v>work-table-03</x:v>
      </x:c>
      <x:c r="B420" s="10" t="n">
        <x:v>1</x:v>
      </x:c>
      <x:c r="C420" s="8" t="str">
        <x:v>当前推荐</x:v>
      </x:c>
      <x:c r="D420" s="8" t="str">
        <x:v>领导同事</x:v>
      </x:c>
      <x:c r="E420" s="8" t="str">
        <x:v>全桌</x:v>
      </x:c>
      <x:c r="F420" s="8" t="str">
        <x:v>稳稳向前</x:v>
      </x:c>
      <x:c r="G420" s="8" t="str">
        <x:v>愿我们做事有分寸，同行有默契；每一步走得稳，每一程走得远。
借这一杯，敬大家。</x:v>
      </x:c>
      <x:c r="H420" s="8" t="str">
        <x:v>今天不说大话，只送一份实在的祝愿：愿我们做事有分寸，同行有默契；难题有人商量，好消息一起分享。敬大家，愿往后的每一步，走得稳，也走得远。
借这一杯，敬大家。</x:v>
      </x:c>
      <x:c r="I420" s="8" t="str">
        <x:v>May we face challenges together and share the good news.</x:v>
      </x:c>
      <x:c r="J420" s="8" t="str">
        <x:v>愿难题一起面对，好消息共同分享。</x:v>
      </x:c>
      <x:c r="K420" s="8" t="str">
        <x:v>thanks</x:v>
      </x:c>
      <x:c r="L420" s="8" t="str">
        <x:v>感谢要有落点</x:v>
      </x:c>
      <x:c r="M420" s="8" t="str"/>
      <x:c r="N420" s="8" t="str">
        <x:v>“不说大话”轻轻带过，不暗指别人夸张。</x:v>
      </x:c>
      <x:c r="O420" s="8" t="str">
        <x:v>未限定</x:v>
      </x:c>
      <x:c r="P420" s="8" t="str">
        <x:v>未限定</x:v>
      </x:c>
      <x:c r="Q420" s="8" t="str">
        <x:v>未限定</x:v>
      </x:c>
      <x:c r="R420" s="8" t="str">
        <x:v>依据表达方法整理</x:v>
      </x:c>
      <x:c r="S420" s="8" t="str">
        <x:v>诙谐</x:v>
      </x:c>
      <x:c r="T420" s="8" t="str"/>
      <x:c r="U420" s="8" t="str"/>
      <x:c r="V420" s="8" t="str">
        <x:v>愿我们做事有分寸，同行有默契；每一步走得稳，每一程走得远。</x:v>
      </x:c>
      <x:c r="W420" s="8" t="str">
        <x:v>今天不说大话，只送一份实在的祝愿：愿我们做事有分寸，同行有默契；难题有人商量，好消息一起分享。敬大家，愿往后的每一步，走得稳，也走得远。</x:v>
      </x:c>
      <x:c r="X420" s="8" t="str"/>
      <x:c r="Y420" s="8" t="str"/>
      <x:c r="Z420" s="8" t="str"/>
      <x:c r="AA420" s="12" t="str"/>
    </x:row>
    <x:row r="421" ht="72" customHeight="1">
      <x:c r="A421" s="9" t="str">
        <x:v>work-verse-02</x:v>
      </x:c>
      <x:c r="B421" s="11" t="n">
        <x:v>1</x:v>
      </x:c>
      <x:c r="C421" s="9" t="str">
        <x:v>当前推荐</x:v>
      </x:c>
      <x:c r="D421" s="9" t="str">
        <x:v>领导同事</x:v>
      </x:c>
      <x:c r="E421" s="9" t="str">
        <x:v>全桌</x:v>
      </x:c>
      <x:c r="F421" s="9" t="str">
        <x:v>同席，畅叙</x:v>
      </x:c>
      <x:c r="G421" s="9" t="str">
        <x:v>一觞一咏，畅叙心意；愿同席多一分了解，共事多一分默契。
借这一杯，敬大家。</x:v>
      </x:c>
      <x:c r="H421" s="9" t="str">
        <x:v>古人雅集，“一觞一咏”，重在畅叙心意。今天难得同席，也愿我们多一分了解，多一分默契。借这一杯，敬大家各有所长，也祝往后共事相互照应，把用心落在事上，把情谊留在心里。
借这一杯，敬大家。</x:v>
      </x:c>
      <x:c r="I421" s="9" t="str">
        <x:v>To knowing one another better and bringing our strengths together.</x:v>
      </x:c>
      <x:c r="J421" s="9" t="str">
        <x:v>敬更多了解，也愿彼此所长汇成合力。</x:v>
      </x:c>
      <x:c r="K421" s="9" t="str">
        <x:v>lanting</x:v>
      </x:c>
      <x:c r="L421" s="9" t="str">
        <x:v>王羲之《兰亭集序》</x:v>
      </x:c>
      <x:c r="M421" s="9" t="str">
        <x:v>一觞一咏，亦足以畅叙幽情。</x:v>
      </x:c>
      <x:c r="N421" s="9" t="str">
        <x:v>照顾全桌，不擅自代表公司作承诺。</x:v>
      </x:c>
      <x:c r="O421" s="9" t="str">
        <x:v>未限定</x:v>
      </x:c>
      <x:c r="P421" s="9" t="str">
        <x:v>未限定</x:v>
      </x:c>
      <x:c r="Q421" s="9" t="str">
        <x:v>未限定</x:v>
      </x:c>
      <x:c r="R421" s="9" t="str">
        <x:v>引句后整理</x:v>
      </x:c>
      <x:c r="S421" s="9" t="str">
        <x:v>雅致</x:v>
      </x:c>
      <x:c r="T421" s="9" t="str"/>
      <x:c r="U421" s="9" t="str"/>
      <x:c r="V421" s="9" t="str">
        <x:v>一觞一咏，畅叙心意；愿同席多一分了解，共事多一分默契。</x:v>
      </x:c>
      <x:c r="W421" s="9" t="str">
        <x:v>古人雅集，“一觞一咏”，重在畅叙心意。今天难得同席，也愿我们多一分了解，多一分默契。借这一杯，敬大家各有所长，也祝往后共事相互照应，把用心落在事上，把情谊留在心里。</x:v>
      </x:c>
      <x:c r="X421" s="9" t="str"/>
      <x:c r="Y421" s="9" t="str"/>
      <x:c r="Z421" s="9" t="str"/>
      <x:c r="AA421" s="12" t="str"/>
    </x:row>
    <x:row r="422" ht="42" customHeight="1">
      <x:c r="A422" s="8" t="str">
        <x:v>spoken-date-06</x:v>
      </x:c>
      <x:c r="B422" s="10" t="n">
        <x:v>1</x:v>
      </x:c>
      <x:c r="C422" s="8" t="str">
        <x:v>熟句备查</x:v>
      </x:c>
      <x:c r="D422" s="8" t="str">
        <x:v>相亲约会</x:v>
      </x:c>
      <x:c r="E422" s="8" t="str">
        <x:v>全桌</x:v>
      </x:c>
      <x:c r="F422" s="8" t="str">
        <x:v>很高兴，今天认识你</x:v>
      </x:c>
      <x:c r="G422" s="8" t="str">
        <x:v>“不亦乐乎”，我今天想借的就是这份高兴。很高兴认识你，先敬这次见面。</x:v>
      </x:c>
      <x:c r="H422" s="8" t="str">
        <x:v>“有朋自远方来，不亦乐乎？”我今天借的不是远近，是这份见到新朋友的高兴。这杯敬你，愿我们有话愿意说，也有耐心听对方说，慢慢认识就好。</x:v>
      </x:c>
      <x:c r="I422" s="8" t="str">
        <x:v>To a happy first meeting, honest conversation, and listening to one another.</x:v>
      </x:c>
      <x:c r="J422" s="8" t="str">
        <x:v>敬愉快的初见、真诚交谈，也愿彼此认真倾听。</x:v>
      </x:c>
      <x:c r="K422" s="8" t="str">
        <x:v>welcoming</x:v>
      </x:c>
      <x:c r="L422" s="8" t="str">
        <x:v>《论语·学而》</x:v>
      </x:c>
      <x:c r="M422" s="8" t="str">
        <x:v>有朋自远方来，不亦乐乎？</x:v>
      </x:c>
      <x:c r="N422" s="8" t="str">
        <x:v>初见保留余地；把话说给面前的人听，不替对方许诺下一次见面。</x:v>
      </x:c>
      <x:c r="O422" s="8" t="str">
        <x:v>未限定</x:v>
      </x:c>
      <x:c r="P422" s="8" t="str">
        <x:v>未限定</x:v>
      </x:c>
      <x:c r="Q422" s="8" t="str">
        <x:v>未限定</x:v>
      </x:c>
      <x:c r="R422" s="8" t="str">
        <x:v>引句后整理</x:v>
      </x:c>
      <x:c r="S422" s="8" t="str">
        <x:v>雅致</x:v>
      </x:c>
      <x:c r="T422" s="8" t="str">
        <x:v>杯里是茶，心意一样。</x:v>
      </x:c>
      <x:c r="U422" s="8" t="str">
        <x:v>I’m raising a cup of tea, with the same warm wishes.</x:v>
      </x:c>
      <x:c r="V422" s="8" t="str">
        <x:v>“不亦乐乎”，我今天想借的就是这份高兴。很高兴认识你，先敬这次见面。</x:v>
      </x:c>
      <x:c r="W422" s="8" t="str">
        <x:v>“有朋自远方来，不亦乐乎？”我今天借的不是远近，是这份见到新朋友的高兴。这杯敬你，愿我们有话愿意说，也有耐心听对方说，慢慢认识就好。</x:v>
      </x:c>
      <x:c r="X422" s="8" t="str">
        <x:v>spoken</x:v>
      </x:c>
      <x:c r="Y422" s="8" t="str">
        <x:v>verse</x:v>
      </x:c>
      <x:c r="Z422" s="8" t="str">
        <x:v>common</x:v>
      </x:c>
      <x:c r="AA422" s="12" t="str"/>
    </x:row>
    <x:row r="423" ht="57" customHeight="1">
      <x:c r="A423" s="9" t="str">
        <x:v>family-01</x:v>
      </x:c>
      <x:c r="B423" s="11" t="n">
        <x:v>1</x:v>
      </x:c>
      <x:c r="C423" s="9" t="str">
        <x:v>历史版本</x:v>
      </x:c>
      <x:c r="D423" s="9" t="str">
        <x:v>家人长辈</x:v>
      </x:c>
      <x:c r="E423" s="9" t="str">
        <x:v>全桌</x:v>
      </x:c>
      <x:c r="F423" s="9" t="str">
        <x:v>家常最有味</x:v>
      </x:c>
      <x:c r="G423" s="9" t="str">
        <x:v>桌上有家常，心里有牵挂；愿长辈安康，家人和乐。
借这一杯，敬大家。</x:v>
      </x:c>
      <x:c r="H423" s="9" t="str">
        <x:v>桌上有家常，心里有牵挂。借这一杯，祝长辈安康，祝家人和乐。愿忙碌的时候彼此惦记，闲下来的时候围坐说话；日子不用多热闹，平安相伴就很好。
借这一杯，敬大家。</x:v>
      </x:c>
      <x:c r="I423" s="9" t="str">
        <x:v>To our family: good health, warm hearts, and time together.</x:v>
      </x:c>
      <x:c r="J423" s="9" t="str">
        <x:v>祝家人安康、心中温暖，也愿多些相聚。</x:v>
      </x:c>
      <x:c r="K423" s="9" t="str">
        <x:v>family</x:v>
      </x:c>
      <x:c r="L423" s="9" t="str">
        <x:v>一件日常，托住一份心意</x:v>
      </x:c>
      <x:c r="M423" s="9" t="str"/>
      <x:c r="N423" s="9" t="str">
        <x:v>适合长辈在场的家宴；其他家庭状态可换句。</x:v>
      </x:c>
      <x:c r="O423" s="9" t="str">
        <x:v>未限定</x:v>
      </x:c>
      <x:c r="P423" s="9" t="str">
        <x:v>未限定</x:v>
      </x:c>
      <x:c r="Q423" s="9" t="str">
        <x:v>未限定</x:v>
      </x:c>
      <x:c r="R423" s="9" t="str">
        <x:v>依据表达方法整理</x:v>
      </x:c>
      <x:c r="S423" s="9" t="str">
        <x:v>雅致</x:v>
      </x:c>
      <x:c r="T423" s="9" t="str"/>
      <x:c r="U423" s="9" t="str"/>
      <x:c r="V423" s="9" t="str">
        <x:v>桌上有家常，心里有牵挂；愿长辈安康，家人和乐。</x:v>
      </x:c>
      <x:c r="W423" s="9" t="str">
        <x:v>桌上有家常，心里有牵挂。借这一杯，祝长辈安康，祝家人和乐。愿忙碌的时候彼此惦记，闲下来的时候围坐说话；日子不用多热闹，平安相伴就很好。</x:v>
      </x:c>
      <x:c r="X423" s="9" t="str"/>
      <x:c r="Y423" s="9" t="str"/>
      <x:c r="Z423" s="9" t="str"/>
      <x:c r="AA423" s="12" t="str"/>
    </x:row>
    <x:row r="424" ht="57" customHeight="1">
      <x:c r="A424" s="8" t="str">
        <x:v>farewell-verse-01</x:v>
      </x:c>
      <x:c r="B424" s="10" t="n">
        <x:v>1</x:v>
      </x:c>
      <x:c r="C424" s="8" t="str">
        <x:v>熟句备查</x:v>
      </x:c>
      <x:c r="D424" s="8" t="str">
        <x:v>送别珍重</x:v>
      </x:c>
      <x:c r="E424" s="8" t="str">
        <x:v>全桌</x:v>
      </x:c>
      <x:c r="F424" s="8" t="str">
        <x:v>天涯若比邻</x:v>
      </x:c>
      <x:c r="G424" s="8" t="str">
        <x:v>“海内存知己，天涯若比邻。”愿此去顺遂，远行仍有牵挂，再见仍有笑语。
借这一杯，敬大家。</x:v>
      </x:c>
      <x:c r="H424" s="8" t="str">
        <x:v>王勃说“海内存知己，天涯若比邻”。今天的惜别不必说得太重，珍重却要认真送到。愿你此去顺遂，忙碌有成；相隔的日子，各自安好，下次同席，再把新故事慢慢讲。
借这一杯，敬大家。</x:v>
      </x:c>
      <x:c r="I424" s="8" t="str">
        <x:v>Distance need not lessen friendship. Safe travels, and may we meet again with new stories.</x:v>
      </x:c>
      <x:c r="J424" s="8" t="str">
        <x:v>距离不必冲淡情谊；祝旅途顺利，再见时有新故事。</x:v>
      </x:c>
      <x:c r="K424" s="8" t="str">
        <x:v>bode</x:v>
      </x:c>
      <x:c r="L424" s="8" t="str">
        <x:v>王勃《送杜少府之任蜀州》</x:v>
      </x:c>
      <x:c r="M424" s="8" t="str">
        <x:v>海内存知己，天涯若比邻。</x:v>
      </x:c>
      <x:c r="N424" s="8" t="str">
        <x:v>适合熟朋友送行，不默认对方赴任。</x:v>
      </x:c>
      <x:c r="O424" s="8" t="str">
        <x:v>未限定</x:v>
      </x:c>
      <x:c r="P424" s="8" t="str">
        <x:v>未限定</x:v>
      </x:c>
      <x:c r="Q424" s="8" t="str">
        <x:v>未限定</x:v>
      </x:c>
      <x:c r="R424" s="8" t="str">
        <x:v>引句后整理</x:v>
      </x:c>
      <x:c r="S424" s="8" t="str">
        <x:v>雅致</x:v>
      </x:c>
      <x:c r="T424" s="8" t="str"/>
      <x:c r="U424" s="8" t="str"/>
      <x:c r="V424" s="8" t="str">
        <x:v>“海内存知己，天涯若比邻。”愿此去顺遂，远行仍有牵挂，再见仍有笑语。</x:v>
      </x:c>
      <x:c r="W424" s="8" t="str">
        <x:v>王勃说“海内存知己，天涯若比邻”。今天的惜别不必说得太重，珍重却要认真送到。愿你此去顺遂，忙碌有成；相隔的日子，各自安好，下次同席，再把新故事慢慢讲。</x:v>
      </x:c>
      <x:c r="X424" s="8" t="str"/>
      <x:c r="Y424" s="8" t="str"/>
      <x:c r="Z424" s="8" t="str">
        <x:v>common</x:v>
      </x:c>
      <x:c r="AA424" s="12" t="str"/>
    </x:row>
    <x:row r="425" ht="72" customHeight="1">
      <x:c r="A425" s="9" t="str">
        <x:v>farewell-verse-02</x:v>
      </x:c>
      <x:c r="B425" s="11" t="n">
        <x:v>1</x:v>
      </x:c>
      <x:c r="C425" s="9" t="str">
        <x:v>熟句备查</x:v>
      </x:c>
      <x:c r="D425" s="9" t="str">
        <x:v>送别珍重</x:v>
      </x:c>
      <x:c r="E425" s="9" t="str">
        <x:v>全桌</x:v>
      </x:c>
      <x:c r="F425" s="9" t="str">
        <x:v>前路有知己</x:v>
      </x:c>
      <x:c r="G425" s="9" t="str">
        <x:v>“莫愁前路无知己。”愿你带着底气出发，也带着欢喜归来。
借这一杯，敬大家。</x:v>
      </x:c>
      <x:c r="H425" s="9" t="str">
        <x:v>高适送友人，说“莫愁前路无知己”。今天也把这份开阔的祝愿送给你：愿前路有人欣赏，遇事自有从容；带着底气出发，也带着欢喜归来。我们这一杯，既道珍重，也盼再会。
借这一杯，敬大家。</x:v>
      </x:c>
      <x:c r="I425" s="9" t="str">
        <x:v>May the road ahead bring people who appreciate you, and may we meet again with joy.</x:v>
      </x:c>
      <x:c r="J425" s="9" t="str">
        <x:v>愿前路有人欣赏，也盼欢喜再会。</x:v>
      </x:c>
      <x:c r="K425" s="9" t="str">
        <x:v>gaoshi</x:v>
      </x:c>
      <x:c r="L425" s="9" t="str">
        <x:v>高适《别董大》其一</x:v>
      </x:c>
      <x:c r="M425" s="9" t="str">
        <x:v>莫愁前路无知己</x:v>
      </x:c>
      <x:c r="N425" s="9" t="str">
        <x:v>诗意鼓励，不承诺人人认识或必然成功。</x:v>
      </x:c>
      <x:c r="O425" s="9" t="str">
        <x:v>未限定</x:v>
      </x:c>
      <x:c r="P425" s="9" t="str">
        <x:v>未限定</x:v>
      </x:c>
      <x:c r="Q425" s="9" t="str">
        <x:v>未限定</x:v>
      </x:c>
      <x:c r="R425" s="9" t="str">
        <x:v>引句后整理</x:v>
      </x:c>
      <x:c r="S425" s="9" t="str">
        <x:v>雅致</x:v>
      </x:c>
      <x:c r="T425" s="9" t="str"/>
      <x:c r="U425" s="9" t="str"/>
      <x:c r="V425" s="9" t="str">
        <x:v>“莫愁前路无知己。”愿你带着底气出发，也带着欢喜归来。</x:v>
      </x:c>
      <x:c r="W425" s="9" t="str">
        <x:v>高适送友人，说“莫愁前路无知己”。今天也把这份开阔的祝愿送给你：愿前路有人欣赏，遇事自有从容；带着底气出发，也带着欢喜归来。我们这一杯，既道珍重，也盼再会。</x:v>
      </x:c>
      <x:c r="X425" s="9" t="str"/>
      <x:c r="Y425" s="9" t="str"/>
      <x:c r="Z425" s="9" t="str">
        <x:v>common</x:v>
      </x:c>
      <x:c r="AA425" s="12" t="str"/>
    </x:row>
    <x:row r="426" ht="42" customHeight="1">
      <x:c r="A426" s="8" t="str">
        <x:v>spoken-farewell-04</x:v>
      </x:c>
      <x:c r="B426" s="10" t="n">
        <x:v>1</x:v>
      </x:c>
      <x:c r="C426" s="8" t="str">
        <x:v>熟句备查</x:v>
      </x:c>
      <x:c r="D426" s="8" t="str">
        <x:v>送别珍重</x:v>
      </x:c>
      <x:c r="E426" s="8" t="str">
        <x:v>全桌</x:v>
      </x:c>
      <x:c r="F426" s="8" t="str">
        <x:v>远了，也还是朋友</x:v>
      </x:c>
      <x:c r="G426" s="8" t="str">
        <x:v>“海内存知己，天涯若比邻。”话不用说得太重，意思就是：远了，也还是朋友。来，祝你顺利。</x:v>
      </x:c>
      <x:c r="H426" s="8" t="str">
        <x:v>“海内存知己，天涯若比邻。”今天把这句话送给你。距离会有，朋友还在；各自忙的时候，也别忘了照顾自己。这杯祝你一路顺利，下回见面，咱们接着聊。</x:v>
      </x:c>
      <x:c r="I426" s="8" t="str">
        <x:v>Distance won’t change our friendship. Safe travels, and here’s to the next time we meet.</x:v>
      </x:c>
      <x:c r="J426" s="8" t="str">
        <x:v>距离不会改变友情，祝一路平安，也盼下次见面。</x:v>
      </x:c>
      <x:c r="K426" s="8" t="str">
        <x:v>bode</x:v>
      </x:c>
      <x:c r="L426" s="8" t="str">
        <x:v>王勃《送杜少府之任蜀州》</x:v>
      </x:c>
      <x:c r="M426" s="8" t="str">
        <x:v>海内存知己，天涯若比邻。</x:v>
      </x:c>
      <x:c r="N426" s="8" t="str">
        <x:v>普通朋友送行口吻；不预设赴任、退休、目的地或永远离别。</x:v>
      </x:c>
      <x:c r="O426" s="8" t="str">
        <x:v>未限定</x:v>
      </x:c>
      <x:c r="P426" s="8" t="str">
        <x:v>未限定</x:v>
      </x:c>
      <x:c r="Q426" s="8" t="str">
        <x:v>未限定</x:v>
      </x:c>
      <x:c r="R426" s="8" t="str">
        <x:v>引句后整理</x:v>
      </x:c>
      <x:c r="S426" s="8" t="str">
        <x:v>雅致</x:v>
      </x:c>
      <x:c r="T426" s="8" t="str">
        <x:v>今天我以茶代酒，这份珍重一样。</x:v>
      </x:c>
      <x:c r="U426" s="8" t="str">
        <x:v>I’m raising a cup of tea, with the same warm wishes.</x:v>
      </x:c>
      <x:c r="V426" s="8" t="str">
        <x:v>“海内存知己，天涯若比邻。”话不用说得太重，意思就是：远了，也还是朋友。来，祝你顺利。</x:v>
      </x:c>
      <x:c r="W426" s="8" t="str">
        <x:v>“海内存知己，天涯若比邻。”今天把这句话送给你。距离会有，朋友还在；各自忙的时候，也别忘了照顾自己。这杯祝你一路顺利，下回见面，咱们接着聊。</x:v>
      </x:c>
      <x:c r="X426" s="8" t="str">
        <x:v>spoken</x:v>
      </x:c>
      <x:c r="Y426" s="8" t="str">
        <x:v>verse</x:v>
      </x:c>
      <x:c r="Z426" s="8" t="str">
        <x:v>common</x:v>
      </x:c>
      <x:c r="AA426" s="12" t="str"/>
    </x:row>
    <x:row r="427" ht="42" customHeight="1">
      <x:c r="A427" s="9" t="str">
        <x:v>spoken-farewell-05</x:v>
      </x:c>
      <x:c r="B427" s="11" t="n">
        <x:v>1</x:v>
      </x:c>
      <x:c r="C427" s="9" t="str">
        <x:v>熟句备查</x:v>
      </x:c>
      <x:c r="D427" s="9" t="str">
        <x:v>送别珍重</x:v>
      </x:c>
      <x:c r="E427" s="9" t="str">
        <x:v>全桌</x:v>
      </x:c>
      <x:c r="F427" s="9" t="str">
        <x:v>带着底气往前走</x:v>
      </x:c>
      <x:c r="G427" s="9" t="str">
        <x:v>“莫愁前路无知己。”这句话送给你，带着底气往前走，也记得身后有朋友。</x:v>
      </x:c>
      <x:c r="H427" s="9" t="str">
        <x:v>“莫愁前路无知己。”我喜欢这句话里的开阔，今天也把这份祝愿送给你。新的路上，愿你遇见聊得来的人，做着心里认定的事。这杯道一声珍重，也盼再见。</x:v>
      </x:c>
      <x:c r="I427" s="9" t="str">
        <x:v>May you find good company and worthwhile work on the road ahead. Take care, my friend.</x:v>
      </x:c>
      <x:c r="J427" s="9" t="str">
        <x:v>愿前路有聊得来的人、有值得做的事，朋友，多保重。</x:v>
      </x:c>
      <x:c r="K427" s="9" t="str">
        <x:v>gaoshi</x:v>
      </x:c>
      <x:c r="L427" s="9" t="str">
        <x:v>高适《别董大》其一</x:v>
      </x:c>
      <x:c r="M427" s="9" t="str">
        <x:v>莫愁前路无知己</x:v>
      </x:c>
      <x:c r="N427" s="9" t="str">
        <x:v>普通朋友送行口吻；不预设赴任、退休、目的地或永远离别。</x:v>
      </x:c>
      <x:c r="O427" s="9" t="str">
        <x:v>未限定</x:v>
      </x:c>
      <x:c r="P427" s="9" t="str">
        <x:v>未限定</x:v>
      </x:c>
      <x:c r="Q427" s="9" t="str">
        <x:v>未限定</x:v>
      </x:c>
      <x:c r="R427" s="9" t="str">
        <x:v>引句后整理</x:v>
      </x:c>
      <x:c r="S427" s="9" t="str">
        <x:v>雅致</x:v>
      </x:c>
      <x:c r="T427" s="9" t="str">
        <x:v>我用茶送你一句珍重，愿一路顺利。</x:v>
      </x:c>
      <x:c r="U427" s="9" t="str">
        <x:v>I’m raising a cup of tea, with the same warm wishes.</x:v>
      </x:c>
      <x:c r="V427" s="9" t="str">
        <x:v>“莫愁前路无知己。”这句话送给你，带着底气往前走，也记得身后有朋友。</x:v>
      </x:c>
      <x:c r="W427" s="9" t="str">
        <x:v>“莫愁前路无知己。”我喜欢这句话里的开阔，今天也把这份祝愿送给你。新的路上，愿你遇见聊得来的人，做着心里认定的事。这杯道一声珍重，也盼再见。</x:v>
      </x:c>
      <x:c r="X427" s="9" t="str">
        <x:v>spoken</x:v>
      </x:c>
      <x:c r="Y427" s="9" t="str">
        <x:v>verse</x:v>
      </x:c>
      <x:c r="Z427" s="9" t="str">
        <x:v>common</x:v>
      </x:c>
      <x:c r="AA427" s="12" t="str"/>
    </x:row>
    <x:row r="428" ht="42" customHeight="1">
      <x:c r="A428" s="8" t="str">
        <x:v>spoken-farewell-10</x:v>
      </x:c>
      <x:c r="B428" s="10" t="n">
        <x:v>1</x:v>
      </x:c>
      <x:c r="C428" s="8" t="str">
        <x:v>熟句备查</x:v>
      </x:c>
      <x:c r="D428" s="8" t="str">
        <x:v>送别珍重</x:v>
      </x:c>
      <x:c r="E428" s="8" t="str">
        <x:v>全桌</x:v>
      </x:c>
      <x:c r="F428" s="8" t="str">
        <x:v>把牵挂带着，也安心往前走</x:v>
      </x:c>
      <x:c r="G428" s="8" t="str">
        <x:v>“天涯若比邻”，今天就借这份心意送你。把朋友的牵挂带着，也安心往前走。</x:v>
      </x:c>
      <x:c r="H428" s="8" t="str">
        <x:v>“天涯若比邻”，今天这杯不把离别说得太重，把牵挂送到就好。愿你往前走得安心，闲下来也想起跟我们说说近况。来，一路顺利，咱们再会。</x:v>
      </x:c>
      <x:c r="I428" s="8" t="str">
        <x:v>Carry our good wishes with you, and step forward with confidence. Until we meet again.</x:v>
      </x:c>
      <x:c r="J428" s="8" t="str">
        <x:v>把我们的祝福带上，安心往前走，咱们再会。</x:v>
      </x:c>
      <x:c r="K428" s="8" t="str">
        <x:v>bode</x:v>
      </x:c>
      <x:c r="L428" s="8" t="str">
        <x:v>王勃《送杜少府之任蜀州》</x:v>
      </x:c>
      <x:c r="M428" s="8" t="str">
        <x:v>海内存知己，天涯若比邻。</x:v>
      </x:c>
      <x:c r="N428" s="8" t="str">
        <x:v>普通朋友送行口吻；不预设赴任、退休、目的地或永远离别。</x:v>
      </x:c>
      <x:c r="O428" s="8" t="str">
        <x:v>未限定</x:v>
      </x:c>
      <x:c r="P428" s="8" t="str">
        <x:v>未限定</x:v>
      </x:c>
      <x:c r="Q428" s="8" t="str">
        <x:v>未限定</x:v>
      </x:c>
      <x:c r="R428" s="8" t="str">
        <x:v>引句后整理</x:v>
      </x:c>
      <x:c r="S428" s="8" t="str">
        <x:v>雅致</x:v>
      </x:c>
      <x:c r="T428" s="8" t="str">
        <x:v>今天我以茶代酒，这份珍重一样。</x:v>
      </x:c>
      <x:c r="U428" s="8" t="str">
        <x:v>I’m raising a cup of tea, with the same warm wishes.</x:v>
      </x:c>
      <x:c r="V428" s="8" t="str">
        <x:v>“天涯若比邻”，今天就借这份心意送你。把朋友的牵挂带着，也安心往前走。</x:v>
      </x:c>
      <x:c r="W428" s="8" t="str">
        <x:v>“天涯若比邻”，今天这杯不把离别说得太重，把牵挂送到就好。愿你往前走得安心，闲下来也想起跟我们说说近况。来，一路顺利，咱们再会。</x:v>
      </x:c>
      <x:c r="X428" s="8" t="str">
        <x:v>spoken</x:v>
      </x:c>
      <x:c r="Y428" s="8" t="str">
        <x:v>verse</x:v>
      </x:c>
      <x:c r="Z428" s="8" t="str">
        <x:v>common</x:v>
      </x:c>
      <x:c r="AA428" s="12" t="str"/>
    </x:row>
    <x:row r="429" ht="57" customHeight="1">
      <x:c r="A429" s="9" t="str">
        <x:v>general-verse-02</x:v>
      </x:c>
      <x:c r="B429" s="11" t="n">
        <x:v>1</x:v>
      </x:c>
      <x:c r="C429" s="9" t="str">
        <x:v>历史版本</x:v>
      </x:c>
      <x:c r="D429" s="9" t="str">
        <x:v>临场救急</x:v>
      </x:c>
      <x:c r="E429" s="9" t="str">
        <x:v>全桌</x:v>
      </x:c>
      <x:c r="F429" s="9" t="str">
        <x:v>乐在相逢</x:v>
      </x:c>
      <x:c r="G429" s="9" t="str">
        <x:v>“有朋自远方来，不亦乐乎？”愿远近都能相聚，心意总有回响。
借这一杯，敬大家。</x:v>
      </x:c>
      <x:c r="H429" s="9" t="str">
        <x:v>“有朋自远方来，不亦乐乎？”古人的欢喜，今天这一席也能懂。相聚不论远近，心意总有轻重。借这一杯，愿大家眼前有欢，往后有盼；来往有情，日常有光。
借这一杯，敬大家。</x:v>
      </x:c>
      <x:c r="I429" s="9" t="str">
        <x:v>To the joy of meeting, near or far, and to kindness that stays with us.</x:v>
      </x:c>
      <x:c r="J429" s="9" t="str">
        <x:v>敬远近相聚的欢喜，也愿心意长留。</x:v>
      </x:c>
      <x:c r="K429" s="9" t="str">
        <x:v>welcoming</x:v>
      </x:c>
      <x:c r="L429" s="9" t="str">
        <x:v>《论语·学而》</x:v>
      </x:c>
      <x:c r="M429" s="9" t="str">
        <x:v>有朋自远方来，不亦乐乎？</x:v>
      </x:c>
      <x:c r="N429" s="9" t="str">
        <x:v>引用古句，不声称大家都是远道而来。</x:v>
      </x:c>
      <x:c r="O429" s="9" t="str">
        <x:v>未限定</x:v>
      </x:c>
      <x:c r="P429" s="9" t="str">
        <x:v>未限定</x:v>
      </x:c>
      <x:c r="Q429" s="9" t="str">
        <x:v>未限定</x:v>
      </x:c>
      <x:c r="R429" s="9" t="str">
        <x:v>引句后整理</x:v>
      </x:c>
      <x:c r="S429" s="9" t="str">
        <x:v>雅致</x:v>
      </x:c>
      <x:c r="T429" s="9" t="str"/>
      <x:c r="U429" s="9" t="str"/>
      <x:c r="V429" s="9" t="str">
        <x:v>“有朋自远方来，不亦乐乎？”愿远近都能相聚，心意总有回响。</x:v>
      </x:c>
      <x:c r="W429" s="9" t="str">
        <x:v>“有朋自远方来，不亦乐乎？”古人的欢喜，今天这一席也能懂。相聚不论远近，心意总有轻重。借这一杯，愿大家眼前有欢，往后有盼；来往有情，日常有光。</x:v>
      </x:c>
      <x:c r="X429" s="9" t="str"/>
      <x:c r="Y429" s="9" t="str"/>
      <x:c r="Z429" s="9" t="str"/>
      <x:c r="AA429" s="12" t="str"/>
    </x:row>
    <x:row r="430" ht="57" customHeight="1">
      <x:c r="A430" s="8" t="str">
        <x:v>general-verse-02</x:v>
      </x:c>
      <x:c r="B430" s="10" t="n">
        <x:v>2</x:v>
      </x:c>
      <x:c r="C430" s="8" t="str">
        <x:v>熟句备查</x:v>
      </x:c>
      <x:c r="D430" s="8" t="str">
        <x:v>临场救急</x:v>
      </x:c>
      <x:c r="E430" s="8" t="str">
        <x:v>全桌</x:v>
      </x:c>
      <x:c r="F430" s="8" t="str">
        <x:v>乐在相逢</x:v>
      </x:c>
      <x:c r="G430" s="8" t="str">
        <x:v>“有朋自远方来，不亦乐乎？”愿远近都能相聚，心意总有回响。
借这一杯，敬大家。</x:v>
      </x:c>
      <x:c r="H430" s="8" t="str">
        <x:v>“有朋自远方来，不亦乐乎？”相聚不论远近，心意贵在真诚。今天借这一杯，敬此刻同席，也祝往后常聚；愿各位行有所成，归有所安。
借这一杯，敬大家。</x:v>
      </x:c>
      <x:c r="I430" s="8" t="str">
        <x:v>To the joy of meeting, near or far, and to kindness that stays with us.</x:v>
      </x:c>
      <x:c r="J430" s="8" t="str">
        <x:v>敬远近相聚的欢喜，也愿心意长留。</x:v>
      </x:c>
      <x:c r="K430" s="8" t="str">
        <x:v>welcoming</x:v>
      </x:c>
      <x:c r="L430" s="8" t="str">
        <x:v>《论语·学而》</x:v>
      </x:c>
      <x:c r="M430" s="8" t="str">
        <x:v>有朋自远方来，不亦乐乎？</x:v>
      </x:c>
      <x:c r="N430" s="8" t="str">
        <x:v>引用古句，不声称大家都是远道而来。</x:v>
      </x:c>
      <x:c r="O430" s="8" t="str">
        <x:v>未限定</x:v>
      </x:c>
      <x:c r="P430" s="8" t="str">
        <x:v>未限定</x:v>
      </x:c>
      <x:c r="Q430" s="8" t="str">
        <x:v>未限定</x:v>
      </x:c>
      <x:c r="R430" s="8" t="str">
        <x:v>引句后整理</x:v>
      </x:c>
      <x:c r="S430" s="8" t="str">
        <x:v>雅致</x:v>
      </x:c>
      <x:c r="T430" s="8" t="str"/>
      <x:c r="U430" s="8" t="str"/>
      <x:c r="V430" s="8" t="str">
        <x:v>“有朋自远方来，不亦乐乎？”愿远近都能相聚，心意总有回响。</x:v>
      </x:c>
      <x:c r="W430" s="8" t="str">
        <x:v>“有朋自远方来，不亦乐乎？”相聚不论远近，心意贵在真诚。今天借这一杯，敬此刻同席，也祝往后常聚；愿各位行有所成，归有所安。</x:v>
      </x:c>
      <x:c r="X430" s="8" t="str"/>
      <x:c r="Y430" s="8" t="str"/>
      <x:c r="Z430" s="8" t="str">
        <x:v>common</x:v>
      </x:c>
      <x:c r="AA430" s="12" t="str"/>
    </x:row>
    <x:row r="431" ht="42" customHeight="1">
      <x:c r="A431" s="9" t="str">
        <x:v>spoken-table-05</x:v>
      </x:c>
      <x:c r="B431" s="11" t="n">
        <x:v>1</x:v>
      </x:c>
      <x:c r="C431" s="9" t="str">
        <x:v>熟句备查</x:v>
      </x:c>
      <x:c r="D431" s="9" t="str">
        <x:v>临场救急</x:v>
      </x:c>
      <x:c r="E431" s="9" t="str">
        <x:v>全桌</x:v>
      </x:c>
      <x:c r="F431" s="9" t="str">
        <x:v>相聚就是件高兴事</x:v>
      </x:c>
      <x:c r="G431" s="9" t="str">
        <x:v>“有朋自远方来，不亦乐乎？”不管从哪儿来，今天坐到一起，我就很高兴。来，敬大家。</x:v>
      </x:c>
      <x:c r="H431" s="9" t="str">
        <x:v>“有朋自远方来，不亦乐乎？”今天借这句话表达一下我的心情：相聚就是件高兴事。谢谢大家这一桌的陪伴，祝各位事顺、人安，往后还有饭可约、有话可聊。</x:v>
      </x:c>
      <x:c r="I431" s="9" t="str">
        <x:v>It’s a pleasure to share this table. Here’s to good company and meeting again.</x:v>
      </x:c>
      <x:c r="J431" s="9" t="str">
        <x:v>很高兴能同桌，敬有人相伴，也盼再会。</x:v>
      </x:c>
      <x:c r="K431" s="9" t="str">
        <x:v>welcoming</x:v>
      </x:c>
      <x:c r="L431" s="9" t="str">
        <x:v>《论语·学而》</x:v>
      </x:c>
      <x:c r="M431" s="9" t="str">
        <x:v>有朋自远方来，不亦乐乎？</x:v>
      </x:c>
      <x:c r="N431" s="9" t="str">
        <x:v>先看看同桌的人，再开口；不用背出致辞的语气。</x:v>
      </x:c>
      <x:c r="O431" s="9" t="str">
        <x:v>未限定</x:v>
      </x:c>
      <x:c r="P431" s="9" t="str">
        <x:v>未限定</x:v>
      </x:c>
      <x:c r="Q431" s="9" t="str">
        <x:v>未限定</x:v>
      </x:c>
      <x:c r="R431" s="9" t="str">
        <x:v>引句后整理</x:v>
      </x:c>
      <x:c r="S431" s="9" t="str">
        <x:v>雅致</x:v>
      </x:c>
      <x:c r="T431" s="9" t="str">
        <x:v>杯里是茶，祝福一样认真。</x:v>
      </x:c>
      <x:c r="U431" s="9" t="str">
        <x:v>I’m raising a cup of tea, with the same warm wishes.</x:v>
      </x:c>
      <x:c r="V431" s="9" t="str">
        <x:v>“有朋自远方来，不亦乐乎？”不管从哪儿来，今天坐到一起，我就很高兴。来，敬大家。</x:v>
      </x:c>
      <x:c r="W431" s="9" t="str">
        <x:v>“有朋自远方来，不亦乐乎？”今天借这句话表达一下我的心情：相聚就是件高兴事。谢谢大家这一桌的陪伴，祝各位事顺、人安，往后还有饭可约、有话可聊。</x:v>
      </x:c>
      <x:c r="X431" s="9" t="str">
        <x:v>spoken</x:v>
      </x:c>
      <x:c r="Y431" s="9" t="str">
        <x:v>verse</x:v>
      </x:c>
      <x:c r="Z431" s="9" t="str">
        <x:v>common</x:v>
      </x:c>
      <x:c r="AA431" s="12" t="str"/>
    </x:row>
    <x:row r="432" ht="42" customHeight="1">
      <x:c r="A432" s="8" t="str">
        <x:v>spoken-table-10</x:v>
      </x:c>
      <x:c r="B432" s="10" t="n">
        <x:v>1</x:v>
      </x:c>
      <x:c r="C432" s="8" t="str">
        <x:v>熟句备查</x:v>
      </x:c>
      <x:c r="D432" s="8" t="str">
        <x:v>临场救急</x:v>
      </x:c>
      <x:c r="E432" s="8" t="str">
        <x:v>全桌</x:v>
      </x:c>
      <x:c r="F432" s="8" t="str">
        <x:v>把相逢过成常来常往</x:v>
      </x:c>
      <x:c r="G432" s="8" t="str">
        <x:v>“有朋自远方来”，是一份高兴；以后常来常往，又是一份情分。今天先敬大家。</x:v>
      </x:c>
      <x:c r="H432" s="8" t="str">
        <x:v>“有朋自远方来”，今天借这份高兴敬各位。认识一回不难，往后愿意来往更难得。祝大家日子顺心，也盼这顿饭以后，咱们还有下一顿饭可约。</x:v>
      </x:c>
      <x:c r="I432" s="8" t="str">
        <x:v>To meeting today and choosing to stay in touch tomorrow.</x:v>
      </x:c>
      <x:c r="J432" s="8" t="str">
        <x:v>敬今天相识，也盼往后愿意继续来往。</x:v>
      </x:c>
      <x:c r="K432" s="8" t="str">
        <x:v>welcoming</x:v>
      </x:c>
      <x:c r="L432" s="8" t="str">
        <x:v>《论语·学而》</x:v>
      </x:c>
      <x:c r="M432" s="8" t="str">
        <x:v>有朋自远方来，不亦乐乎？</x:v>
      </x:c>
      <x:c r="N432" s="8" t="str">
        <x:v>先看看同桌的人，再开口；不用背出致辞的语气。</x:v>
      </x:c>
      <x:c r="O432" s="8" t="str">
        <x:v>未限定</x:v>
      </x:c>
      <x:c r="P432" s="8" t="str">
        <x:v>未限定</x:v>
      </x:c>
      <x:c r="Q432" s="8" t="str">
        <x:v>未限定</x:v>
      </x:c>
      <x:c r="R432" s="8" t="str">
        <x:v>引句后整理</x:v>
      </x:c>
      <x:c r="S432" s="8" t="str">
        <x:v>雅致</x:v>
      </x:c>
      <x:c r="T432" s="8" t="str">
        <x:v>今天我以茶代酒，心意都在。</x:v>
      </x:c>
      <x:c r="U432" s="8" t="str">
        <x:v>I’m raising a cup of tea, with the same warm wishes.</x:v>
      </x:c>
      <x:c r="V432" s="8" t="str">
        <x:v>“有朋自远方来”，是一份高兴；以后常来常往，又是一份情分。今天先敬大家。</x:v>
      </x:c>
      <x:c r="W432" s="8" t="str">
        <x:v>“有朋自远方来”，今天借这份高兴敬各位。认识一回不难，往后愿意来往更难得。祝大家日子顺心，也盼这顿饭以后，咱们还有下一顿饭可约。</x:v>
      </x:c>
      <x:c r="X432" s="8" t="str">
        <x:v>spoken</x:v>
      </x:c>
      <x:c r="Y432" s="8" t="str">
        <x:v>verse</x:v>
      </x:c>
      <x:c r="Z432" s="8" t="str">
        <x:v>common</x:v>
      </x:c>
      <x:c r="AA432" s="12" t="str"/>
    </x:row>
    <x:row r="433" ht="42" customHeight="1">
      <x:c r="A433" s="9" t="str">
        <x:v>spoken-host-06</x:v>
      </x:c>
      <x:c r="B433" s="11" t="n">
        <x:v>1</x:v>
      </x:c>
      <x:c r="C433" s="9" t="str">
        <x:v>熟句备查</x:v>
      </x:c>
      <x:c r="D433" s="9" t="str">
        <x:v>我是主人</x:v>
      </x:c>
      <x:c r="E433" s="9" t="str">
        <x:v>全桌</x:v>
      </x:c>
      <x:c r="F433" s="9" t="str">
        <x:v>有朋相聚，心里就高兴</x:v>
      </x:c>
      <x:c r="G433" s="9" t="str">
        <x:v>“有朋自远方来，不亦乐乎？”今天不论远近，大家来了，我就高兴。先欢迎各位。</x:v>
      </x:c>
      <x:c r="H433" s="9" t="str">
        <x:v>“有朋自远方来，不亦乐乎？”今天这句话，我这个做东的人最有感触。谢谢各位愿意来，咱们先碰个杯，愿今天多一点笑声，往后多几次见面。</x:v>
      </x:c>
      <x:c r="I433" s="9" t="str">
        <x:v>Having friends here is a joy. Welcome, and here’s to more happy gatherings.</x:v>
      </x:c>
      <x:c r="J433" s="9" t="str">
        <x:v>有朋友来就是高兴，欢迎大家，也盼更多欢聚。</x:v>
      </x:c>
      <x:c r="K433" s="9" t="str">
        <x:v>welcoming</x:v>
      </x:c>
      <x:c r="L433" s="9" t="str">
        <x:v>《论语·学而》</x:v>
      </x:c>
      <x:c r="M433" s="9" t="str">
        <x:v>有朋自远方来，不亦乐乎？</x:v>
      </x:c>
      <x:c r="N433" s="9" t="str">
        <x:v>主人先把客人照顾到；不用自谦菜不好，也不用催客人喝酒。</x:v>
      </x:c>
      <x:c r="O433" s="9" t="str">
        <x:v>未限定</x:v>
      </x:c>
      <x:c r="P433" s="9" t="str">
        <x:v>未限定</x:v>
      </x:c>
      <x:c r="Q433" s="9" t="str">
        <x:v>未限定</x:v>
      </x:c>
      <x:c r="R433" s="9" t="str">
        <x:v>引句后整理</x:v>
      </x:c>
      <x:c r="S433" s="9" t="str">
        <x:v>雅致</x:v>
      </x:c>
      <x:c r="T433" s="9" t="str">
        <x:v>我用茶陪大家，咱们自在就好。</x:v>
      </x:c>
      <x:c r="U433" s="9" t="str">
        <x:v>I’m raising a cup of tea, with the same warm wishes.</x:v>
      </x:c>
      <x:c r="V433" s="9" t="str">
        <x:v>“有朋自远方来，不亦乐乎？”今天不论远近，大家来了，我就高兴。先欢迎各位。</x:v>
      </x:c>
      <x:c r="W433" s="9" t="str">
        <x:v>“有朋自远方来，不亦乐乎？”今天这句话，我这个做东的人最有感触。谢谢各位愿意来，咱们先碰个杯，愿今天多一点笑声，往后多几次见面。</x:v>
      </x:c>
      <x:c r="X433" s="9" t="str">
        <x:v>spoken</x:v>
      </x:c>
      <x:c r="Y433" s="9" t="str">
        <x:v>verse</x:v>
      </x:c>
      <x:c r="Z433" s="9" t="str">
        <x:v>common</x:v>
      </x:c>
      <x:c r="AA433" s="12" t="str"/>
    </x:row>
    <x:row r="434" ht="57" customHeight="1">
      <x:c r="A434" s="8" t="str">
        <x:v>meeting-verse-01</x:v>
      </x:c>
      <x:c r="B434" s="10" t="n">
        <x:v>1</x:v>
      </x:c>
      <x:c r="C434" s="8" t="str">
        <x:v>熟句备查</x:v>
      </x:c>
      <x:c r="D434" s="8" t="str">
        <x:v>认识新朋友</x:v>
      </x:c>
      <x:c r="E434" s="8" t="str">
        <x:v>全桌</x:v>
      </x:c>
      <x:c r="F434" s="8" t="str">
        <x:v>相逢有乐</x:v>
      </x:c>
      <x:c r="G434" s="8" t="str">
        <x:v>“有朋自远方来，不亦乐乎？”愿这一席由相识到了解，由生分到自在。
借这一杯，敬大家。</x:v>
      </x:c>
      <x:c r="H434" s="8" t="str">
        <x:v>孔子说“有朋自远方来，不亦乐乎？”今天先借古人的欢喜，敬大家的新相识。名字慢慢记，故事慢慢听；愿这一席由生分到自在，往后的来往由客气到真诚。
借这一杯，敬大家。</x:v>
      </x:c>
      <x:c r="I434" s="8" t="str">
        <x:v>To learning new names, hearing new stories, and feeling at ease together.</x:v>
      </x:c>
      <x:c r="J434" s="8" t="str">
        <x:v>敬新名字、新故事，也愿大家相处自在。</x:v>
      </x:c>
      <x:c r="K434" s="8" t="str">
        <x:v>welcoming</x:v>
      </x:c>
      <x:c r="L434" s="8" t="str">
        <x:v>《论语·学而》</x:v>
      </x:c>
      <x:c r="M434" s="8" t="str">
        <x:v>有朋自远方来，不亦乐乎？</x:v>
      </x:c>
      <x:c r="N434" s="8" t="str">
        <x:v>不预设所有人远道而来或已是知己。</x:v>
      </x:c>
      <x:c r="O434" s="8" t="str">
        <x:v>未限定</x:v>
      </x:c>
      <x:c r="P434" s="8" t="str">
        <x:v>未限定</x:v>
      </x:c>
      <x:c r="Q434" s="8" t="str">
        <x:v>未限定</x:v>
      </x:c>
      <x:c r="R434" s="8" t="str">
        <x:v>引句后整理</x:v>
      </x:c>
      <x:c r="S434" s="8" t="str">
        <x:v>雅致</x:v>
      </x:c>
      <x:c r="T434" s="8" t="str"/>
      <x:c r="U434" s="8" t="str"/>
      <x:c r="V434" s="8" t="str">
        <x:v>“有朋自远方来，不亦乐乎？”愿这一席由相识到了解，由生分到自在。</x:v>
      </x:c>
      <x:c r="W434" s="8" t="str">
        <x:v>孔子说“有朋自远方来，不亦乐乎？”今天先借古人的欢喜，敬大家的新相识。名字慢慢记，故事慢慢听；愿这一席由生分到自在，往后的来往由客气到真诚。</x:v>
      </x:c>
      <x:c r="X434" s="8" t="str"/>
      <x:c r="Y434" s="8" t="str"/>
      <x:c r="Z434" s="8" t="str">
        <x:v>common</x:v>
      </x:c>
      <x:c r="AA434" s="12" t="str"/>
    </x:row>
    <x:row r="435" ht="42" customHeight="1">
      <x:c r="A435" s="9" t="str">
        <x:v>spoken-new-04</x:v>
      </x:c>
      <x:c r="B435" s="11" t="n">
        <x:v>1</x:v>
      </x:c>
      <x:c r="C435" s="9" t="str">
        <x:v>熟句备查</x:v>
      </x:c>
      <x:c r="D435" s="9" t="str">
        <x:v>认识新朋友</x:v>
      </x:c>
      <x:c r="E435" s="9" t="str">
        <x:v>全桌</x:v>
      </x:c>
      <x:c r="F435" s="9" t="str">
        <x:v>相聚这份高兴，是真的</x:v>
      </x:c>
      <x:c r="G435" s="9" t="str">
        <x:v>“有朋自远方来，不亦乐乎？”今天先借这份高兴，敬新认识的各位，咱们慢慢聊。</x:v>
      </x:c>
      <x:c r="H435" s="9" t="str">
        <x:v>“有朋自远方来，不亦乐乎？”我借这句话说一声欢迎，也说一声很高兴认识大家。交情不用着急，先把今天这顿饭吃好，彼此多认识一点。</x:v>
      </x:c>
      <x:c r="I435" s="9" t="str">
        <x:v>To the pleasure of meeting new people and letting friendship grow at its own pace.</x:v>
      </x:c>
      <x:c r="J435" s="9" t="str">
        <x:v>敬新相识的高兴，也愿友情慢慢生长。</x:v>
      </x:c>
      <x:c r="K435" s="9" t="str">
        <x:v>welcoming</x:v>
      </x:c>
      <x:c r="L435" s="9" t="str">
        <x:v>《论语·学而》</x:v>
      </x:c>
      <x:c r="M435" s="9" t="str">
        <x:v>有朋自远方来，不亦乐乎？</x:v>
      </x:c>
      <x:c r="N435" s="9" t="str">
        <x:v>初识先让人放松；不预设对方从远方来或已经是多年好友。</x:v>
      </x:c>
      <x:c r="O435" s="9" t="str">
        <x:v>未限定</x:v>
      </x:c>
      <x:c r="P435" s="9" t="str">
        <x:v>未限定</x:v>
      </x:c>
      <x:c r="Q435" s="9" t="str">
        <x:v>未限定</x:v>
      </x:c>
      <x:c r="R435" s="9" t="str">
        <x:v>引句后整理</x:v>
      </x:c>
      <x:c r="S435" s="9" t="str">
        <x:v>雅致</x:v>
      </x:c>
      <x:c r="T435" s="9" t="str">
        <x:v>今天我以茶代酒，心意都在。</x:v>
      </x:c>
      <x:c r="U435" s="9" t="str">
        <x:v>I’m raising a cup of tea, with the same warm wishes.</x:v>
      </x:c>
      <x:c r="V435" s="9" t="str">
        <x:v>“有朋自远方来，不亦乐乎？”今天先借这份高兴，敬新认识的各位，咱们慢慢聊。</x:v>
      </x:c>
      <x:c r="W435" s="9" t="str">
        <x:v>“有朋自远方来，不亦乐乎？”我借这句话说一声欢迎，也说一声很高兴认识大家。交情不用着急，先把今天这顿饭吃好，彼此多认识一点。</x:v>
      </x:c>
      <x:c r="X435" s="9" t="str">
        <x:v>spoken</x:v>
      </x:c>
      <x:c r="Y435" s="9" t="str">
        <x:v>verse</x:v>
      </x:c>
      <x:c r="Z435" s="9" t="str">
        <x:v>common</x:v>
      </x:c>
      <x:c r="AA435" s="12" t="str"/>
    </x:row>
    <x:row r="436" ht="72" customHeight="1">
      <x:c r="A436" s="8" t="str">
        <x:v>reply-03</x:v>
      </x:c>
      <x:c r="B436" s="10" t="n">
        <x:v>1</x:v>
      </x:c>
      <x:c r="C436" s="8" t="str">
        <x:v>熟句备查</x:v>
      </x:c>
      <x:c r="D436" s="8" t="str">
        <x:v>别人敬我</x:v>
      </x:c>
      <x:c r="E436" s="8" t="str">
        <x:v>全桌</x:v>
      </x:c>
      <x:c r="F436" s="8" t="str">
        <x:v>投桃报李，祝福相还</x:v>
      </x:c>
      <x:c r="G436" s="8" t="str">
        <x:v>“投我以桃，报之以李。”你的好话我收下，我的祝福敬回来。
借这一杯，敬大家。</x:v>
      </x:c>
      <x:c r="H436" s="8" t="str">
        <x:v>《诗经》有“投我以桃，报之以李”。今天就借这份善意相还的心意，接住你的祝福，也敬回我的祝愿：愿你所行顺意，所爱有回应；往后的日子，有忙碌的收获，也有相聚的欢喜。
借这一杯，敬大家。</x:v>
      </x:c>
      <x:c r="I436" s="8" t="str">
        <x:v>I receive your kindness with gratitude and return my warmest wishes.</x:v>
      </x:c>
      <x:c r="J436" s="8" t="str">
        <x:v>感谢这份心意，也回敬真挚的祝愿。</x:v>
      </x:c>
      <x:c r="K436" s="8" t="str">
        <x:v>reciprocate</x:v>
      </x:c>
      <x:c r="L436" s="8" t="str">
        <x:v>《诗经·大雅·抑》：投桃报李</x:v>
      </x:c>
      <x:c r="M436" s="8" t="str">
        <x:v>投我以桃，报之以李。</x:v>
      </x:c>
      <x:c r="N436" s="8" t="str">
        <x:v>回敬祝福，不把善意变成人情债。</x:v>
      </x:c>
      <x:c r="O436" s="8" t="str">
        <x:v>未限定</x:v>
      </x:c>
      <x:c r="P436" s="8" t="str">
        <x:v>未限定</x:v>
      </x:c>
      <x:c r="Q436" s="8" t="str">
        <x:v>未限定</x:v>
      </x:c>
      <x:c r="R436" s="8" t="str">
        <x:v>引句后整理</x:v>
      </x:c>
      <x:c r="S436" s="8" t="str">
        <x:v>雅致</x:v>
      </x:c>
      <x:c r="T436" s="8" t="str"/>
      <x:c r="U436" s="8" t="str"/>
      <x:c r="V436" s="8" t="str">
        <x:v>“投我以桃，报之以李。”你的好话我收下，我的祝福敬回来。</x:v>
      </x:c>
      <x:c r="W436" s="8" t="str">
        <x:v>《诗经》有“投我以桃，报之以李”。今天就借这份善意相还的心意，接住你的祝福，也敬回我的祝愿：愿你所行顺意，所爱有回应；往后的日子，有忙碌的收获，也有相聚的欢喜。</x:v>
      </x:c>
      <x:c r="X436" s="8" t="str"/>
      <x:c r="Y436" s="8" t="str"/>
      <x:c r="Z436" s="8" t="str">
        <x:v>common</x:v>
      </x:c>
      <x:c r="AA436" s="12" t="str"/>
    </x:row>
    <x:row r="437" ht="42" customHeight="1">
      <x:c r="A437" s="9" t="str">
        <x:v>spoken-reply-04</x:v>
      </x:c>
      <x:c r="B437" s="11" t="n">
        <x:v>1</x:v>
      </x:c>
      <x:c r="C437" s="9" t="str">
        <x:v>熟句备查</x:v>
      </x:c>
      <x:c r="D437" s="9" t="str">
        <x:v>别人敬我</x:v>
      </x:c>
      <x:c r="E437" s="9" t="str">
        <x:v>全桌</x:v>
      </x:c>
      <x:c r="F437" s="9" t="str">
        <x:v>祝福也要有来有往</x:v>
      </x:c>
      <x:c r="G437" s="9" t="str">
        <x:v>“投我以桃，报之以李。”你的祝福我收下，我的祝福也送给你。愿咱们都顺心。</x:v>
      </x:c>
      <x:c r="H437" s="9" t="str">
        <x:v>“投我以桃，报之以李。”今天就用这句话接住你的好意。谢谢你把好话送给我，我也愿把好祝福送回给你：愿你忙有所得，闲有所乐，平常日子也常有笑声。</x:v>
      </x:c>
      <x:c r="I437" s="9" t="str">
        <x:v>I receive your wishes with gratitude and send the same warmth back to you.</x:v>
      </x:c>
      <x:c r="J437" s="9" t="str">
        <x:v>谢谢你的祝福，也把同样的温暖送回给你。</x:v>
      </x:c>
      <x:c r="K437" s="9" t="str">
        <x:v>reciprocate</x:v>
      </x:c>
      <x:c r="L437" s="9" t="str">
        <x:v>《诗经·大雅·抑》：投桃报李</x:v>
      </x:c>
      <x:c r="M437" s="9" t="str">
        <x:v>投我以桃，报之以李。</x:v>
      </x:c>
      <x:c r="N437" s="9" t="str">
        <x:v>先听完对方的祝福再接话；这里不额外区分辈分，按平辈口吻使用。</x:v>
      </x:c>
      <x:c r="O437" s="9" t="str">
        <x:v>未限定</x:v>
      </x:c>
      <x:c r="P437" s="9" t="str">
        <x:v>未限定</x:v>
      </x:c>
      <x:c r="Q437" s="9" t="str">
        <x:v>未限定</x:v>
      </x:c>
      <x:c r="R437" s="9" t="str">
        <x:v>引句后整理</x:v>
      </x:c>
      <x:c r="S437" s="9" t="str">
        <x:v>雅致</x:v>
      </x:c>
      <x:c r="T437" s="9" t="str">
        <x:v>我以茶代酒，也把祝福送给你。</x:v>
      </x:c>
      <x:c r="U437" s="9" t="str">
        <x:v>I’m raising a cup of tea, with the same warm wishes.</x:v>
      </x:c>
      <x:c r="V437" s="9" t="str">
        <x:v>“投我以桃，报之以李。”你的祝福我收下，我的祝福也送给你。愿咱们都顺心。</x:v>
      </x:c>
      <x:c r="W437" s="9" t="str">
        <x:v>“投我以桃，报之以李。”今天就用这句话接住你的好意。谢谢你把好话送给我，我也愿把好祝福送回给你：愿你忙有所得，闲有所乐，平常日子也常有笑声。</x:v>
      </x:c>
      <x:c r="X437" s="9" t="str">
        <x:v>spoken</x:v>
      </x:c>
      <x:c r="Y437" s="9" t="str">
        <x:v>verse</x:v>
      </x:c>
      <x:c r="Z437" s="9" t="str">
        <x:v>common</x:v>
      </x:c>
      <x:c r="AA437" s="12" t="str"/>
    </x:row>
    <x:row r="438" ht="42" customHeight="1">
      <x:c r="A438" s="8" t="str">
        <x:v>spoken-reply-05</x:v>
      </x:c>
      <x:c r="B438" s="10" t="n">
        <x:v>1</x:v>
      </x:c>
      <x:c r="C438" s="8" t="str">
        <x:v>熟句备查</x:v>
      </x:c>
      <x:c r="D438" s="8" t="str">
        <x:v>别人敬我</x:v>
      </x:c>
      <x:c r="E438" s="8" t="str">
        <x:v>全桌</x:v>
      </x:c>
      <x:c r="F438" s="8" t="str">
        <x:v>回敬一份真心</x:v>
      </x:c>
      <x:c r="G438" s="8" t="str">
        <x:v>借“投桃报李”的意思，我也回敬一份真心。谢谢你，也祝你平安、顺利、心里踏实。</x:v>
      </x:c>
      <x:c r="H438" s="8" t="str">
        <x:v>借“投桃报李”这份心意，你刚才的祝福，我好好收下。今天这一杯，也祝你平安、顺利，想做的事有进展，累了的时候能歇一歇。咱们都把日子过好。</x:v>
      </x:c>
      <x:c r="I438" s="8" t="str">
        <x:v>Thank you. Wishing you peace, progress, and time to rest when you need it.</x:v>
      </x:c>
      <x:c r="J438" s="8" t="str">
        <x:v>谢谢你，也祝你平安、有进展，累了能好好休息。</x:v>
      </x:c>
      <x:c r="K438" s="8" t="str">
        <x:v>reciprocate</x:v>
      </x:c>
      <x:c r="L438" s="8" t="str">
        <x:v>《诗经·大雅·抑》：投桃报李</x:v>
      </x:c>
      <x:c r="M438" s="8" t="str">
        <x:v>投我以桃，报之以李。</x:v>
      </x:c>
      <x:c r="N438" s="8" t="str">
        <x:v>先听完对方的祝福再接话；这里不额外区分辈分，按平辈口吻使用。</x:v>
      </x:c>
      <x:c r="O438" s="8" t="str">
        <x:v>未限定</x:v>
      </x:c>
      <x:c r="P438" s="8" t="str">
        <x:v>未限定</x:v>
      </x:c>
      <x:c r="Q438" s="8" t="str">
        <x:v>未限定</x:v>
      </x:c>
      <x:c r="R438" s="8" t="str">
        <x:v>引句后整理</x:v>
      </x:c>
      <x:c r="S438" s="8" t="str">
        <x:v>雅致</x:v>
      </x:c>
      <x:c r="T438" s="8" t="str">
        <x:v>我用茶回敬一份好意，祝你顺心。</x:v>
      </x:c>
      <x:c r="U438" s="8" t="str">
        <x:v>I’m raising a cup of tea, with the same warm wishes.</x:v>
      </x:c>
      <x:c r="V438" s="8" t="str">
        <x:v>借“投桃报李”的意思，我也回敬一份真心。谢谢你，也祝你平安、顺利、心里踏实。</x:v>
      </x:c>
      <x:c r="W438" s="8" t="str">
        <x:v>借“投桃报李”这份心意，你刚才的祝福，我好好收下。今天这一杯，也祝你平安、顺利，想做的事有进展，累了的时候能歇一歇。咱们都把日子过好。</x:v>
      </x:c>
      <x:c r="X438" s="8" t="str">
        <x:v>spoken</x:v>
      </x:c>
      <x:c r="Y438" s="8" t="str">
        <x:v>verse</x:v>
      </x:c>
      <x:c r="Z438" s="8" t="str">
        <x:v>common</x:v>
      </x:c>
      <x:c r="AA438" s="12" t="str"/>
    </x:row>
    <x:row r="439" ht="42" customHeight="1">
      <x:c r="A439" s="9" t="str">
        <x:v>spoken-reply-10</x:v>
      </x:c>
      <x:c r="B439" s="11" t="n">
        <x:v>1</x:v>
      </x:c>
      <x:c r="C439" s="9" t="str">
        <x:v>熟句备查</x:v>
      </x:c>
      <x:c r="D439" s="9" t="str">
        <x:v>别人敬我</x:v>
      </x:c>
      <x:c r="E439" s="9" t="str">
        <x:v>全桌</x:v>
      </x:c>
      <x:c r="F439" s="9" t="str">
        <x:v>心意回敬，祝福不落下</x:v>
      </x:c>
      <x:c r="G439" s="9" t="str">
        <x:v>“投我以桃，报之以李。”你的心意我接住，我的祝福也不落下。来，祝你顺心。</x:v>
      </x:c>
      <x:c r="H439" s="9" t="str">
        <x:v>“投我以桃，报之以李。”今天就借这份真心有回应的意思，我也敬你一杯。祝你日子有盼头，忙碌有结果，身边常有说得上话的人。</x:v>
      </x:c>
      <x:c r="I439" s="9" t="str">
        <x:v>I’m grateful for your wishes, and I’m sending mine right back to you.</x:v>
      </x:c>
      <x:c r="J439" s="9" t="str">
        <x:v>谢谢你的祝愿，我也把祝福认真送回给你。</x:v>
      </x:c>
      <x:c r="K439" s="9" t="str">
        <x:v>reciprocate</x:v>
      </x:c>
      <x:c r="L439" s="9" t="str">
        <x:v>《诗经·大雅·抑》：投桃报李</x:v>
      </x:c>
      <x:c r="M439" s="9" t="str">
        <x:v>投我以桃，报之以李。</x:v>
      </x:c>
      <x:c r="N439" s="9" t="str">
        <x:v>先听完对方的祝福再接话；这里不额外区分辈分，按平辈口吻使用。</x:v>
      </x:c>
      <x:c r="O439" s="9" t="str">
        <x:v>未限定</x:v>
      </x:c>
      <x:c r="P439" s="9" t="str">
        <x:v>未限定</x:v>
      </x:c>
      <x:c r="Q439" s="9" t="str">
        <x:v>未限定</x:v>
      </x:c>
      <x:c r="R439" s="9" t="str">
        <x:v>引句后整理</x:v>
      </x:c>
      <x:c r="S439" s="9" t="str">
        <x:v>雅致</x:v>
      </x:c>
      <x:c r="T439" s="9" t="str">
        <x:v>我以茶代酒，也把祝福送给你。</x:v>
      </x:c>
      <x:c r="U439" s="9" t="str">
        <x:v>I’m raising a cup of tea, with the same warm wishes.</x:v>
      </x:c>
      <x:c r="V439" s="9" t="str">
        <x:v>“投我以桃，报之以李。”你的心意我接住，我的祝福也不落下。来，祝你顺心。</x:v>
      </x:c>
      <x:c r="W439" s="9" t="str">
        <x:v>“投我以桃，报之以李。”今天就借这份真心有回应的意思，我也敬你一杯。祝你日子有盼头，忙碌有结果，身边常有说得上话的人。</x:v>
      </x:c>
      <x:c r="X439" s="9" t="str">
        <x:v>spoken</x:v>
      </x:c>
      <x:c r="Y439" s="9" t="str">
        <x:v>verse</x:v>
      </x:c>
      <x:c r="Z439" s="9" t="str">
        <x:v>common</x:v>
      </x:c>
      <x:c r="AA439" s="12" t="str"/>
    </x:row>
    <x:row r="440" ht="42" customHeight="1">
      <x:c r="A440" s="8" t="str">
        <x:v>spoken-guest-05</x:v>
      </x:c>
      <x:c r="B440" s="10" t="n">
        <x:v>1</x:v>
      </x:c>
      <x:c r="C440" s="8" t="str">
        <x:v>熟句备查</x:v>
      </x:c>
      <x:c r="D440" s="8" t="str">
        <x:v>致谢答谢</x:v>
      </x:c>
      <x:c r="E440" s="8" t="str">
        <x:v>主人</x:v>
      </x:c>
      <x:c r="F440" s="8" t="str">
        <x:v>相聚的高兴，要谢谢主人</x:v>
      </x:c>
      <x:c r="G440" s="8" t="str">
        <x:v>“有朋自远方来，不亦乐乎？”今天这份相聚的高兴，也得谢谢主人。来，敬你，费心了。</x:v>
      </x:c>
      <x:c r="H440" s="8" t="str">
        <x:v>“有朋自远方来，不亦乐乎？”今天大家能坐得这么开心，得谢谢主人的张罗。我作为来宾，先把这份感谢说到，祝你忙得有收获，也常有被朋友好好款待的时候。</x:v>
      </x:c>
      <x:c r="I440" s="8" t="str">
        <x:v>To our host, who made this happy gathering possible. Thank you for everything.</x:v>
      </x:c>
      <x:c r="J440" s="8" t="str">
        <x:v>敬让今天这场欢聚成行的主人，谢谢你的用心。</x:v>
      </x:c>
      <x:c r="K440" s="8" t="str">
        <x:v>welcoming</x:v>
      </x:c>
      <x:c r="L440" s="8" t="str">
        <x:v>《论语·学而》</x:v>
      </x:c>
      <x:c r="M440" s="8" t="str">
        <x:v>有朋自远方来，不亦乐乎？</x:v>
      </x:c>
      <x:c r="N440" s="8" t="str">
        <x:v>来宾感谢主人；把张罗的用心说到，不抢主人安排饭局的角色。</x:v>
      </x:c>
      <x:c r="O440" s="8" t="str">
        <x:v>未限定</x:v>
      </x:c>
      <x:c r="P440" s="8" t="str">
        <x:v>未限定</x:v>
      </x:c>
      <x:c r="Q440" s="8" t="str">
        <x:v>未限定</x:v>
      </x:c>
      <x:c r="R440" s="8" t="str">
        <x:v>引句后整理</x:v>
      </x:c>
      <x:c r="S440" s="8" t="str">
        <x:v>雅致</x:v>
      </x:c>
      <x:c r="T440" s="8" t="str">
        <x:v>我用茶敬这份好意，心里记着。</x:v>
      </x:c>
      <x:c r="U440" s="8" t="str">
        <x:v>I’m raising a cup of tea, with the same warm wishes.</x:v>
      </x:c>
      <x:c r="V440" s="8" t="str">
        <x:v>“有朋自远方来，不亦乐乎？”今天这份相聚的高兴，也得谢谢主人。来，敬你，费心了。</x:v>
      </x:c>
      <x:c r="W440" s="8" t="str">
        <x:v>“有朋自远方来，不亦乐乎？”今天大家能坐得这么开心，得谢谢主人的张罗。我作为来宾，先把这份感谢说到，祝你忙得有收获，也常有被朋友好好款待的时候。</x:v>
      </x:c>
      <x:c r="X440" s="8" t="str">
        <x:v>spoken</x:v>
      </x:c>
      <x:c r="Y440" s="8" t="str">
        <x:v>verse</x:v>
      </x:c>
      <x:c r="Z440" s="8" t="str">
        <x:v>common</x:v>
      </x:c>
      <x:c r="AA440" s="12" t="str"/>
    </x:row>
    <x:row r="441" ht="42" customHeight="1">
      <x:c r="A441" s="9" t="str">
        <x:v>spoken-thanks-04</x:v>
      </x:c>
      <x:c r="B441" s="11" t="n">
        <x:v>1</x:v>
      </x:c>
      <x:c r="C441" s="9" t="str">
        <x:v>熟句备查</x:v>
      </x:c>
      <x:c r="D441" s="9" t="str">
        <x:v>致谢答谢</x:v>
      </x:c>
      <x:c r="E441" s="9" t="str">
        <x:v>全桌</x:v>
      </x:c>
      <x:c r="F441" s="9" t="str">
        <x:v>真心，得用真心来回</x:v>
      </x:c>
      <x:c r="G441" s="9" t="str">
        <x:v>“投我以桃，报之以李。”你的好意，我想用真心来回。这杯谢谢你，也祝你一切顺心。</x:v>
      </x:c>
      <x:c r="H441" s="9" t="str">
        <x:v>“投我以桃，报之以李。”我喜欢这句话里真心有回应的意思。今天借这杯好好谢谢你，往后的来往，我也会认真相待。祝你做事顺利，过日子舒心。</x:v>
      </x:c>
      <x:c r="I441" s="9" t="str">
        <x:v>Thank you for your kindness. I hope to return it with the same sincerity.</x:v>
      </x:c>
      <x:c r="J441" s="9" t="str">
        <x:v>感谢你的好意，也愿以同样的真心回应。</x:v>
      </x:c>
      <x:c r="K441" s="9" t="str">
        <x:v>reciprocate</x:v>
      </x:c>
      <x:c r="L441" s="9" t="str">
        <x:v>《诗经·大雅·抑》：投桃报李</x:v>
      </x:c>
      <x:c r="M441" s="9" t="str">
        <x:v>投我以桃，报之以李。</x:v>
      </x:c>
      <x:c r="N441" s="9" t="str">
        <x:v>泛指收到好意后致谢；如果愿意，可以当面补一句真实的感谢事项。</x:v>
      </x:c>
      <x:c r="O441" s="9" t="str">
        <x:v>未限定</x:v>
      </x:c>
      <x:c r="P441" s="9" t="str">
        <x:v>未限定</x:v>
      </x:c>
      <x:c r="Q441" s="9" t="str">
        <x:v>未限定</x:v>
      </x:c>
      <x:c r="R441" s="9" t="str">
        <x:v>引句后整理</x:v>
      </x:c>
      <x:c r="S441" s="9" t="str">
        <x:v>雅致</x:v>
      </x:c>
      <x:c r="T441" s="9" t="str">
        <x:v>今天我以茶代酒，认真说声谢谢。</x:v>
      </x:c>
      <x:c r="U441" s="9" t="str">
        <x:v>I’m raising a cup of tea, with the same warm wishes.</x:v>
      </x:c>
      <x:c r="V441" s="9" t="str">
        <x:v>“投我以桃，报之以李。”你的好意，我想用真心来回。这杯谢谢你，也祝你一切顺心。</x:v>
      </x:c>
      <x:c r="W441" s="9" t="str">
        <x:v>“投我以桃，报之以李。”我喜欢这句话里真心有回应的意思。今天借这杯好好谢谢你，往后的来往，我也会认真相待。祝你做事顺利，过日子舒心。</x:v>
      </x:c>
      <x:c r="X441" s="9" t="str">
        <x:v>spoken</x:v>
      </x:c>
      <x:c r="Y441" s="9" t="str">
        <x:v>verse</x:v>
      </x:c>
      <x:c r="Z441" s="9" t="str">
        <x:v>common</x:v>
      </x:c>
      <x:c r="AA441" s="12" t="str"/>
    </x:row>
    <x:row r="442" ht="42" customHeight="1">
      <x:c r="A442" s="8" t="str">
        <x:v>spoken-thanks-05</x:v>
      </x:c>
      <x:c r="B442" s="10" t="n">
        <x:v>1</x:v>
      </x:c>
      <x:c r="C442" s="8" t="str">
        <x:v>熟句备查</x:v>
      </x:c>
      <x:c r="D442" s="8" t="str">
        <x:v>致谢答谢</x:v>
      </x:c>
      <x:c r="E442" s="8" t="str">
        <x:v>全桌</x:v>
      </x:c>
      <x:c r="F442" s="8" t="str">
        <x:v>感谢说出口，也记在心里</x:v>
      </x:c>
      <x:c r="G442" s="8" t="str">
        <x:v>借“投桃报李”的意思，今天先把感谢说出口。你的好意我记着，这杯敬你。</x:v>
      </x:c>
      <x:c r="H442" s="8" t="str">
        <x:v>借“投桃报李”这份心意，今天先认真说一声谢谢。不是算来算去，是别人待自己的好，值得记着。这杯敬你，愿你常有顺心事，也常被人好好对待。</x:v>
      </x:c>
      <x:c r="I442" s="8" t="str">
        <x:v>Your kindness matters to me. Here’s to being thoughtful toward one another.</x:v>
      </x:c>
      <x:c r="J442" s="8" t="str">
        <x:v>你的好意我很珍惜，也愿彼此真心相待。</x:v>
      </x:c>
      <x:c r="K442" s="8" t="str">
        <x:v>reciprocate</x:v>
      </x:c>
      <x:c r="L442" s="8" t="str">
        <x:v>《诗经·大雅·抑》：投桃报李</x:v>
      </x:c>
      <x:c r="M442" s="8" t="str">
        <x:v>投我以桃，报之以李。</x:v>
      </x:c>
      <x:c r="N442" s="8" t="str">
        <x:v>泛指收到好意后致谢；如果愿意，可以当面补一句真实的感谢事项。</x:v>
      </x:c>
      <x:c r="O442" s="8" t="str">
        <x:v>未限定</x:v>
      </x:c>
      <x:c r="P442" s="8" t="str">
        <x:v>未限定</x:v>
      </x:c>
      <x:c r="Q442" s="8" t="str">
        <x:v>未限定</x:v>
      </x:c>
      <x:c r="R442" s="8" t="str">
        <x:v>引句后整理</x:v>
      </x:c>
      <x:c r="S442" s="8" t="str">
        <x:v>雅致</x:v>
      </x:c>
      <x:c r="T442" s="8" t="str">
        <x:v>我用茶敬这份好意，心里记着。</x:v>
      </x:c>
      <x:c r="U442" s="8" t="str">
        <x:v>I’m raising a cup of tea, with the same warm wishes.</x:v>
      </x:c>
      <x:c r="V442" s="8" t="str">
        <x:v>借“投桃报李”的意思，今天先把感谢说出口。你的好意我记着，这杯敬你。</x:v>
      </x:c>
      <x:c r="W442" s="8" t="str">
        <x:v>借“投桃报李”这份心意，今天先认真说一声谢谢。不是算来算去，是别人待自己的好，值得记着。这杯敬你，愿你常有顺心事，也常被人好好对待。</x:v>
      </x:c>
      <x:c r="X442" s="8" t="str">
        <x:v>spoken</x:v>
      </x:c>
      <x:c r="Y442" s="8" t="str">
        <x:v>verse</x:v>
      </x:c>
      <x:c r="Z442" s="8" t="str">
        <x:v>common</x:v>
      </x:c>
      <x:c r="AA442" s="12" t="str"/>
    </x:row>
    <x:row r="443" ht="42" customHeight="1">
      <x:c r="A443" s="9" t="str">
        <x:v>spoken-thanks-10</x:v>
      </x:c>
      <x:c r="B443" s="11" t="n">
        <x:v>1</x:v>
      </x:c>
      <x:c r="C443" s="9" t="str">
        <x:v>熟句备查</x:v>
      </x:c>
      <x:c r="D443" s="9" t="str">
        <x:v>致谢答谢</x:v>
      </x:c>
      <x:c r="E443" s="9" t="str">
        <x:v>全桌</x:v>
      </x:c>
      <x:c r="F443" s="9" t="str">
        <x:v>来往贵在认真</x:v>
      </x:c>
      <x:c r="G443" s="9" t="str">
        <x:v>“投我以桃，报之以李。”来往贵在认真，这份好意，我也会认真记着。来，谢谢你。</x:v>
      </x:c>
      <x:c r="H443" s="9" t="str">
        <x:v>“投我以桃，报之以李。”今天借这句话，不是客套地还一句，而是认真记住你的好意。这杯敬你，祝你日子顺心，也愿我们的来往一直真诚。</x:v>
      </x:c>
      <x:c r="I443" s="9" t="str">
        <x:v>Thank you for your kindness. May we always treat one another sincerely.</x:v>
      </x:c>
      <x:c r="J443" s="9" t="str">
        <x:v>感谢你的好意，也愿我们的来往始终真诚。</x:v>
      </x:c>
      <x:c r="K443" s="9" t="str">
        <x:v>reciprocate</x:v>
      </x:c>
      <x:c r="L443" s="9" t="str">
        <x:v>《诗经·大雅·抑》：投桃报李</x:v>
      </x:c>
      <x:c r="M443" s="9" t="str">
        <x:v>投我以桃，报之以李。</x:v>
      </x:c>
      <x:c r="N443" s="9" t="str">
        <x:v>泛指收到好意后致谢；如果愿意，可以当面补一句真实的感谢事项。</x:v>
      </x:c>
      <x:c r="O443" s="9" t="str">
        <x:v>未限定</x:v>
      </x:c>
      <x:c r="P443" s="9" t="str">
        <x:v>未限定</x:v>
      </x:c>
      <x:c r="Q443" s="9" t="str">
        <x:v>未限定</x:v>
      </x:c>
      <x:c r="R443" s="9" t="str">
        <x:v>引句后整理</x:v>
      </x:c>
      <x:c r="S443" s="9" t="str">
        <x:v>雅致</x:v>
      </x:c>
      <x:c r="T443" s="9" t="str">
        <x:v>今天我以茶代酒，认真说声谢谢。</x:v>
      </x:c>
      <x:c r="U443" s="9" t="str">
        <x:v>I’m raising a cup of tea, with the same warm wishes.</x:v>
      </x:c>
      <x:c r="V443" s="9" t="str">
        <x:v>“投我以桃，报之以李。”来往贵在认真，这份好意，我也会认真记着。来，谢谢你。</x:v>
      </x:c>
      <x:c r="W443" s="9" t="str">
        <x:v>“投我以桃，报之以李。”今天借这句话，不是客套地还一句，而是认真记住你的好意。这杯敬你，祝你日子顺心，也愿我们的来往一直真诚。</x:v>
      </x:c>
      <x:c r="X443" s="9" t="str">
        <x:v>spoken</x:v>
      </x:c>
      <x:c r="Y443" s="9" t="str">
        <x:v>verse</x:v>
      </x:c>
      <x:c r="Z443" s="9" t="str">
        <x:v>common</x:v>
      </x:c>
      <x:c r="AA443" s="12" t="str"/>
    </x:row>
    <x:row r="444" ht="57" customHeight="1">
      <x:c r="A444" s="8" t="str">
        <x:v>thanks-02</x:v>
      </x:c>
      <x:c r="B444" s="10" t="n">
        <x:v>1</x:v>
      </x:c>
      <x:c r="C444" s="8" t="str">
        <x:v>历史版本</x:v>
      </x:c>
      <x:c r="D444" s="8" t="str">
        <x:v>致谢答谢</x:v>
      </x:c>
      <x:c r="E444" s="8" t="str">
        <x:v>全桌</x:v>
      </x:c>
      <x:c r="F444" s="8" t="str">
        <x:v>谢这一席款待</x:v>
      </x:c>
      <x:c r="G444" s="8" t="str">
        <x:v>佳肴有味，款待有情；谢谢这份用心，愿往后常有相聚。
借这一杯，敬大家。</x:v>
      </x:c>
      <x:c r="H444" s="8" t="str">
        <x:v>今天这一席，佳肴有味，款待有情。借这一杯，认真谢谢主人的用心。愿往后常有这样的相聚：饭菜可以不同，情谊总有回响；话题慢慢说，好日子慢慢过。
借这一杯，敬大家。</x:v>
      </x:c>
      <x:c r="I444" s="8" t="str">
        <x:v>Thank you for bringing us together and making us feel welcome.</x:v>
      </x:c>
      <x:c r="J444" s="8" t="str">
        <x:v>谢谢你让大家相聚，也让我们感受到欢迎。</x:v>
      </x:c>
      <x:c r="K444" s="8" t="str">
        <x:v>thanks</x:v>
      </x:c>
      <x:c r="L444" s="8" t="str">
        <x:v>感谢要有落点</x:v>
      </x:c>
      <x:c r="M444" s="8" t="str"/>
      <x:c r="N444" s="8" t="str">
        <x:v>来宾感谢主人，主人自己请选择迎宾。</x:v>
      </x:c>
      <x:c r="O444" s="8" t="str">
        <x:v>未限定</x:v>
      </x:c>
      <x:c r="P444" s="8" t="str">
        <x:v>未限定</x:v>
      </x:c>
      <x:c r="Q444" s="8" t="str">
        <x:v>未限定</x:v>
      </x:c>
      <x:c r="R444" s="8" t="str">
        <x:v>依据表达方法整理</x:v>
      </x:c>
      <x:c r="S444" s="8" t="str">
        <x:v>雅致</x:v>
      </x:c>
      <x:c r="T444" s="8" t="str"/>
      <x:c r="U444" s="8" t="str"/>
      <x:c r="V444" s="8" t="str">
        <x:v>佳肴有味，款待有情；谢谢这份用心，愿往后常有相聚。</x:v>
      </x:c>
      <x:c r="W444" s="8" t="str">
        <x:v>今天这一席，佳肴有味，款待有情。借这一杯，认真谢谢主人的用心。愿往后常有这样的相聚：饭菜可以不同，情谊总有回响；话题慢慢说，好日子慢慢过。</x:v>
      </x:c>
      <x:c r="X444" s="8" t="str"/>
      <x:c r="Y444" s="8" t="str"/>
      <x:c r="Z444" s="8" t="str"/>
      <x:c r="AA444" s="12" t="str"/>
    </x:row>
    <x:row r="445" ht="57" customHeight="1">
      <x:c r="A445" s="9" t="str">
        <x:v>thanks-03</x:v>
      </x:c>
      <x:c r="B445" s="11" t="n">
        <x:v>1</x:v>
      </x:c>
      <x:c r="C445" s="9" t="str">
        <x:v>历史版本</x:v>
      </x:c>
      <x:c r="D445" s="9" t="str">
        <x:v>致谢答谢</x:v>
      </x:c>
      <x:c r="E445" s="9" t="str">
        <x:v>全桌</x:v>
      </x:c>
      <x:c r="F445" s="9" t="str">
        <x:v>接住祝福，再敬心意</x:v>
      </x:c>
      <x:c r="G445" s="9" t="str">
        <x:v>好话我收下，心意敬回来；愿这份祝福，也照亮你的日常。
借这一杯，敬大家。</x:v>
      </x:c>
      <x:c r="H445" s="9" t="str">
        <x:v>刚才的好话我认真收下，这一杯把心意敬回来。愿你送来的祝福，也照亮自己的日常；愿我们说好话、做好事，把彼此的日子照应得更温暖。
借这一杯，敬大家。</x:v>
      </x:c>
      <x:c r="I445" s="9" t="str">
        <x:v>Thank you for your kind words. May those good wishes come back to you.</x:v>
      </x:c>
      <x:c r="J445" s="9" t="str">
        <x:v>谢谢你的祝福，也愿这份美好回到你身边。</x:v>
      </x:c>
      <x:c r="K445" s="9" t="str">
        <x:v>rhythm</x:v>
      </x:c>
      <x:c r="L445" s="9" t="str">
        <x:v>把话写给耳朵听</x:v>
      </x:c>
      <x:c r="M445" s="9" t="str"/>
      <x:c r="N445" s="9" t="str">
        <x:v>用于回敬；未听到别人祝福时请选择其他致谢。</x:v>
      </x:c>
      <x:c r="O445" s="9" t="str">
        <x:v>未限定</x:v>
      </x:c>
      <x:c r="P445" s="9" t="str">
        <x:v>未限定</x:v>
      </x:c>
      <x:c r="Q445" s="9" t="str">
        <x:v>未限定</x:v>
      </x:c>
      <x:c r="R445" s="9" t="str">
        <x:v>依据表达方法整理</x:v>
      </x:c>
      <x:c r="S445" s="9" t="str">
        <x:v>诙谐</x:v>
      </x:c>
      <x:c r="T445" s="9" t="str"/>
      <x:c r="U445" s="9" t="str"/>
      <x:c r="V445" s="9" t="str">
        <x:v>好话我收下，心意敬回来；愿这份祝福，也照亮你的日常。</x:v>
      </x:c>
      <x:c r="W445" s="9" t="str">
        <x:v>刚才的好话我认真收下，这一杯把心意敬回来。愿你送来的祝福，也照亮自己的日常；愿我们说好话、做好事，把彼此的日子照应得更温暖。</x:v>
      </x:c>
      <x:c r="X445" s="9" t="str"/>
      <x:c r="Y445" s="9" t="str"/>
      <x:c r="Z445" s="9" t="str"/>
      <x:c r="AA445" s="12" t="str"/>
    </x:row>
    <x:row r="446" ht="72" customHeight="1">
      <x:c r="A446" s="8" t="str">
        <x:v>thanks-verse-01</x:v>
      </x:c>
      <x:c r="B446" s="10" t="n">
        <x:v>1</x:v>
      </x:c>
      <x:c r="C446" s="8" t="str">
        <x:v>熟句备查</x:v>
      </x:c>
      <x:c r="D446" s="8" t="str">
        <x:v>致谢答谢</x:v>
      </x:c>
      <x:c r="E446" s="8" t="str">
        <x:v>全桌</x:v>
      </x:c>
      <x:c r="F446" s="8" t="str">
        <x:v>好意有回应</x:v>
      </x:c>
      <x:c r="G446" s="8" t="str">
        <x:v>“投我以桃，报之以李。”承一份好意，还一份真诚；愿往来有情，心意有回响。
借这一杯，敬大家。</x:v>
      </x:c>
      <x:c r="H446" s="8" t="str">
        <x:v>《诗经》说“投我以桃，报之以李”。有些好意，不必计较轻重，却值得认真记在心里。今天借这一杯表达感谢；愿往后的来往，我也能以真诚相待，让这份心意有回应、有回响。
借这一杯，敬大家。</x:v>
      </x:c>
      <x:c r="I446" s="8" t="str">
        <x:v>Thank you for your kindness. May I return it with the same sincerity.</x:v>
      </x:c>
      <x:c r="J446" s="8" t="str">
        <x:v>感谢好意，也愿我以同样的真诚回应。</x:v>
      </x:c>
      <x:c r="K446" s="8" t="str">
        <x:v>reciprocate</x:v>
      </x:c>
      <x:c r="L446" s="8" t="str">
        <x:v>《诗经·大雅·抑》：投桃报李</x:v>
      </x:c>
      <x:c r="M446" s="8" t="str">
        <x:v>投我以桃，报之以李。</x:v>
      </x:c>
      <x:c r="N446" s="8" t="str">
        <x:v>不计算礼物价值，不暗示利益交换。</x:v>
      </x:c>
      <x:c r="O446" s="8" t="str">
        <x:v>未限定</x:v>
      </x:c>
      <x:c r="P446" s="8" t="str">
        <x:v>未限定</x:v>
      </x:c>
      <x:c r="Q446" s="8" t="str">
        <x:v>未限定</x:v>
      </x:c>
      <x:c r="R446" s="8" t="str">
        <x:v>引句后整理</x:v>
      </x:c>
      <x:c r="S446" s="8" t="str">
        <x:v>雅致</x:v>
      </x:c>
      <x:c r="T446" s="8" t="str"/>
      <x:c r="U446" s="8" t="str"/>
      <x:c r="V446" s="8" t="str">
        <x:v>“投我以桃，报之以李。”承一份好意，还一份真诚；愿往来有情，心意有回响。</x:v>
      </x:c>
      <x:c r="W446" s="8" t="str">
        <x:v>《诗经》说“投我以桃，报之以李”。有些好意，不必计较轻重，却值得认真记在心里。今天借这一杯表达感谢；愿往后的来往，我也能以真诚相待，让这份心意有回应、有回响。</x:v>
      </x:c>
      <x:c r="X446" s="8" t="str"/>
      <x:c r="Y446" s="8" t="str"/>
      <x:c r="Z446" s="8" t="str">
        <x:v>common</x:v>
      </x:c>
      <x:c r="AA446" s="12" t="str"/>
    </x:row>
    <x:row r="447" ht="72" customHeight="1">
      <x:c r="A447" s="9" t="str">
        <x:v>leader-verse-01</x:v>
      </x:c>
      <x:c r="B447" s="11" t="n">
        <x:v>1</x:v>
      </x:c>
      <x:c r="C447" s="9" t="str">
        <x:v>熟句备查</x:v>
      </x:c>
      <x:c r="D447" s="9" t="str">
        <x:v>领导同事</x:v>
      </x:c>
      <x:c r="E447" s="9" t="str">
        <x:v>领导</x:v>
      </x:c>
      <x:c r="F447" s="9" t="str">
        <x:v>见贤思齐</x:v>
      </x:c>
      <x:c r="G447" s="9" t="str">
        <x:v>“见贤思齐焉。”敬您一杯，也勉励自己：心有所敬，行有所学。
借这一杯，敬您。</x:v>
      </x:c>
      <x:c r="H447" s="9" t="str">
        <x:v>《论语》说“见贤思齐焉”。今天借这一杯，向您致敬，也勉励自己：心有所敬，行有所学。愿您所行从容、所谋顺遂；我也愿多学一分见识，多做一分实事，把每一步走得更扎实。
借这一杯，敬您。</x:v>
      </x:c>
      <x:c r="I447" s="9" t="str">
        <x:v>With sincere respect, and a wish to keep learning and act with care.</x:v>
      </x:c>
      <x:c r="J447" s="9" t="str">
        <x:v>致以敬意，也愿自己持续学习、用心做事。</x:v>
      </x:c>
      <x:c r="K447" s="9" t="str">
        <x:v>practice</x:v>
      </x:c>
      <x:c r="L447" s="9" t="str">
        <x:v>《论语·里仁》：敬贤与笃行</x:v>
      </x:c>
      <x:c r="M447" s="9" t="str">
        <x:v>见贤思齐焉。君子欲讷于言而敏于行。</x:v>
      </x:c>
      <x:c r="N447" s="9" t="str">
        <x:v>尊重落在敬贤与自勉，不虚构长期提携。</x:v>
      </x:c>
      <x:c r="O447" s="9" t="str">
        <x:v>未限定</x:v>
      </x:c>
      <x:c r="P447" s="9" t="str">
        <x:v>未限定</x:v>
      </x:c>
      <x:c r="Q447" s="9" t="str">
        <x:v>未限定</x:v>
      </x:c>
      <x:c r="R447" s="9" t="str">
        <x:v>引句后整理</x:v>
      </x:c>
      <x:c r="S447" s="9" t="str">
        <x:v>雅致</x:v>
      </x:c>
      <x:c r="T447" s="9" t="str"/>
      <x:c r="U447" s="9" t="str"/>
      <x:c r="V447" s="9" t="str">
        <x:v>“见贤思齐焉。”敬您一杯，也勉励自己：心有所敬，行有所学。</x:v>
      </x:c>
      <x:c r="W447" s="9" t="str">
        <x:v>《论语》说“见贤思齐焉”。今天借这一杯，向您致敬，也勉励自己：心有所敬，行有所学。愿您所行从容、所谋顺遂；我也愿多学一分见识，多做一分实事，把每一步走得更扎实。</x:v>
      </x:c>
      <x:c r="X447" s="9" t="str"/>
      <x:c r="Y447" s="9" t="str"/>
      <x:c r="Z447" s="9" t="str">
        <x:v>common</x:v>
      </x:c>
      <x:c r="AA447" s="12" t="str"/>
    </x:row>
    <x:row r="448" ht="72" customHeight="1">
      <x:c r="A448" s="8" t="str">
        <x:v>leader-verse-02</x:v>
      </x:c>
      <x:c r="B448" s="10" t="n">
        <x:v>1</x:v>
      </x:c>
      <x:c r="C448" s="8" t="str">
        <x:v>熟句备查</x:v>
      </x:c>
      <x:c r="D448" s="8" t="str">
        <x:v>领导同事</x:v>
      </x:c>
      <x:c r="E448" s="8" t="str">
        <x:v>领导</x:v>
      </x:c>
      <x:c r="F448" s="8" t="str">
        <x:v>言有分寸，行有用心</x:v>
      </x:c>
      <x:c r="G448" s="8" t="str">
        <x:v>古人讲“敏于行”，我愿把敬意落在用心里；敬您一杯，祝您顺遂从容。
借这一杯，敬您。</x:v>
      </x:c>
      <x:c r="H448" s="8" t="str">
        <x:v>古人讲“敏于行”，我也愿以这三个字自勉：言有分寸，行有用心。今天敬您一杯，祝您所谋有成，日常有乐。我会珍惜学习的机会，把该做的事做好，把每一份信任认真对待。
借这一杯，敬您。</x:v>
      </x:c>
      <x:c r="I448" s="8" t="str">
        <x:v>To you, with respect, and to putting care into every task.</x:v>
      </x:c>
      <x:c r="J448" s="8" t="str">
        <x:v>向您致敬，也愿自己把每件事做得更用心。</x:v>
      </x:c>
      <x:c r="K448" s="8" t="str">
        <x:v>practice</x:v>
      </x:c>
      <x:c r="L448" s="8" t="str">
        <x:v>《论语·里仁》：敬贤与笃行</x:v>
      </x:c>
      <x:c r="M448" s="8" t="str">
        <x:v>见贤思齐焉。君子欲讷于言而敏于行。</x:v>
      </x:c>
      <x:c r="N448" s="8" t="str">
        <x:v>“信任”作为今后做事态度，不宣称已有具体任命或提拔。</x:v>
      </x:c>
      <x:c r="O448" s="8" t="str">
        <x:v>未限定</x:v>
      </x:c>
      <x:c r="P448" s="8" t="str">
        <x:v>未限定</x:v>
      </x:c>
      <x:c r="Q448" s="8" t="str">
        <x:v>未限定</x:v>
      </x:c>
      <x:c r="R448" s="8" t="str">
        <x:v>引句后整理</x:v>
      </x:c>
      <x:c r="S448" s="8" t="str">
        <x:v>雅致</x:v>
      </x:c>
      <x:c r="T448" s="8" t="str"/>
      <x:c r="U448" s="8" t="str"/>
      <x:c r="V448" s="8" t="str">
        <x:v>古人讲“敏于行”，我愿把敬意落在用心里；敬您一杯，祝您顺遂从容。</x:v>
      </x:c>
      <x:c r="W448" s="8" t="str">
        <x:v>古人讲“敏于行”，我也愿以这三个字自勉：言有分寸，行有用心。今天敬您一杯，祝您所谋有成，日常有乐。我会珍惜学习的机会，把该做的事做好，把每一份信任认真对待。</x:v>
      </x:c>
      <x:c r="X448" s="8" t="str"/>
      <x:c r="Y448" s="8" t="str"/>
      <x:c r="Z448" s="8" t="str">
        <x:v>common</x:v>
      </x:c>
      <x:c r="AA448" s="12" t="str"/>
    </x:row>
    <x:row r="449" ht="42" customHeight="1">
      <x:c r="A449" s="9" t="str">
        <x:v>spoken-leader-04</x:v>
      </x:c>
      <x:c r="B449" s="11" t="n">
        <x:v>1</x:v>
      </x:c>
      <x:c r="C449" s="9" t="str">
        <x:v>熟句备查</x:v>
      </x:c>
      <x:c r="D449" s="9" t="str">
        <x:v>领导同事</x:v>
      </x:c>
      <x:c r="E449" s="9" t="str">
        <x:v>领导</x:v>
      </x:c>
      <x:c r="F449" s="9" t="str">
        <x:v>先把自己这一步走好</x:v>
      </x:c>
      <x:c r="G449" s="9" t="str">
        <x:v>“见贤思齐”，我愿意把这句话记在心里。这杯敬您，也提醒自己多学一点、把事做扎实一点。</x:v>
      </x:c>
      <x:c r="H449" s="9" t="str">
        <x:v>“见贤思齐焉。”今天借这句话敬您，也勉励我自己。要学的还有很多，我先把自己该做的事做扎实。祝您工作顺心、生活舒心，这杯向您致意。</x:v>
      </x:c>
      <x:c r="I449" s="9" t="str">
        <x:v>With respect, and a reminder to myself to keep learning and do my part well.</x:v>
      </x:c>
      <x:c r="J449" s="9" t="str">
        <x:v>向您致敬，也提醒自己持续学习、认真尽责。</x:v>
      </x:c>
      <x:c r="K449" s="9" t="str">
        <x:v>practice</x:v>
      </x:c>
      <x:c r="L449" s="9" t="str">
        <x:v>《论语·里仁》：敬贤与笃行</x:v>
      </x:c>
      <x:c r="M449" s="9" t="str">
        <x:v>见贤思齐焉。君子欲讷于言而敏于行。</x:v>
      </x:c>
      <x:c r="N449" s="9" t="str">
        <x:v>用平常说话的速度；玩笑版本只适合已经熟悉、气氛轻松的场合。</x:v>
      </x:c>
      <x:c r="O449" s="9" t="str">
        <x:v>未限定</x:v>
      </x:c>
      <x:c r="P449" s="9" t="str">
        <x:v>未限定</x:v>
      </x:c>
      <x:c r="Q449" s="9" t="str">
        <x:v>未限定</x:v>
      </x:c>
      <x:c r="R449" s="9" t="str">
        <x:v>引句后整理</x:v>
      </x:c>
      <x:c r="S449" s="9" t="str">
        <x:v>雅致</x:v>
      </x:c>
      <x:c r="T449" s="9" t="str">
        <x:v>今天我以茶代酒，敬意一样。</x:v>
      </x:c>
      <x:c r="U449" s="9" t="str">
        <x:v>I’m raising a cup of tea, with the same warm wishes.</x:v>
      </x:c>
      <x:c r="V449" s="9" t="str">
        <x:v>“见贤思齐”，我愿意把这句话记在心里。这杯敬您，也提醒自己多学一点、把事做扎实一点。</x:v>
      </x:c>
      <x:c r="W449" s="9" t="str">
        <x:v>“见贤思齐焉。”今天借这句话敬您，也勉励我自己。要学的还有很多，我先把自己该做的事做扎实。祝您工作顺心、生活舒心，这杯向您致意。</x:v>
      </x:c>
      <x:c r="X449" s="9" t="str">
        <x:v>spoken</x:v>
      </x:c>
      <x:c r="Y449" s="9" t="str">
        <x:v>verse</x:v>
      </x:c>
      <x:c r="Z449" s="9" t="str">
        <x:v>common</x:v>
      </x:c>
      <x:c r="AA449" s="12" t="str"/>
    </x:row>
    <x:row r="450" ht="42" customHeight="1">
      <x:c r="A450" s="8" t="str">
        <x:v>spoken-leader-05</x:v>
      </x:c>
      <x:c r="B450" s="10" t="n">
        <x:v>1</x:v>
      </x:c>
      <x:c r="C450" s="8" t="str">
        <x:v>熟句备查</x:v>
      </x:c>
      <x:c r="D450" s="8" t="str">
        <x:v>领导同事</x:v>
      </x:c>
      <x:c r="E450" s="8" t="str">
        <x:v>领导</x:v>
      </x:c>
      <x:c r="F450" s="8" t="str">
        <x:v>敬在心里，用在事上</x:v>
      </x:c>
      <x:c r="G450" s="8" t="str">
        <x:v>借“敏于行”三个字给自己提个醒：敬在心里，也要用在事上。敬您，祝您顺心、安康。</x:v>
      </x:c>
      <x:c r="H450" s="8" t="str">
        <x:v>“敏于行”，说起来三个字，做起来要下功夫。我就用这三个字提醒自己，少一点想当然，多一点认真做。这杯敬您，祝您身体好，事情也办得顺。</x:v>
      </x:c>
      <x:c r="I450" s="8" t="str">
        <x:v>To thoughtful action, with sincere respect and good wishes for you.</x:v>
      </x:c>
      <x:c r="J450" s="8" t="str">
        <x:v>敬认真行动，也向您送上敬意与祝福。</x:v>
      </x:c>
      <x:c r="K450" s="8" t="str">
        <x:v>practice</x:v>
      </x:c>
      <x:c r="L450" s="8" t="str">
        <x:v>《论语·里仁》：敬贤与笃行</x:v>
      </x:c>
      <x:c r="M450" s="8" t="str">
        <x:v>见贤思齐焉。君子欲讷于言而敏于行。</x:v>
      </x:c>
      <x:c r="N450" s="8" t="str">
        <x:v>用平常说话的速度；玩笑版本只适合已经熟悉、气氛轻松的场合。</x:v>
      </x:c>
      <x:c r="O450" s="8" t="str">
        <x:v>未限定</x:v>
      </x:c>
      <x:c r="P450" s="8" t="str">
        <x:v>未限定</x:v>
      </x:c>
      <x:c r="Q450" s="8" t="str">
        <x:v>未限定</x:v>
      </x:c>
      <x:c r="R450" s="8" t="str">
        <x:v>引句后整理</x:v>
      </x:c>
      <x:c r="S450" s="8" t="str">
        <x:v>雅致</x:v>
      </x:c>
      <x:c r="T450" s="8" t="str">
        <x:v>我用茶敬您，祝您身体好、心情好。</x:v>
      </x:c>
      <x:c r="U450" s="8" t="str">
        <x:v>I’m raising a cup of tea, with the same warm wishes.</x:v>
      </x:c>
      <x:c r="V450" s="8" t="str">
        <x:v>借“敏于行”三个字给自己提个醒：敬在心里，也要用在事上。敬您，祝您顺心、安康。</x:v>
      </x:c>
      <x:c r="W450" s="8" t="str">
        <x:v>“敏于行”，说起来三个字，做起来要下功夫。我就用这三个字提醒自己，少一点想当然，多一点认真做。这杯敬您，祝您身体好，事情也办得顺。</x:v>
      </x:c>
      <x:c r="X450" s="8" t="str">
        <x:v>spoken</x:v>
      </x:c>
      <x:c r="Y450" s="8" t="str">
        <x:v>verse</x:v>
      </x:c>
      <x:c r="Z450" s="8" t="str">
        <x:v>common</x:v>
      </x:c>
      <x:c r="AA450" s="12" t="str"/>
    </x:row>
    <x:row r="451" ht="42" customHeight="1">
      <x:c r="A451" s="9" t="str">
        <x:v>spoken-leader-10</x:v>
      </x:c>
      <x:c r="B451" s="11" t="n">
        <x:v>1</x:v>
      </x:c>
      <x:c r="C451" s="9" t="str">
        <x:v>熟句备查</x:v>
      </x:c>
      <x:c r="D451" s="9" t="str">
        <x:v>领导同事</x:v>
      </x:c>
      <x:c r="E451" s="9" t="str">
        <x:v>领导</x:v>
      </x:c>
      <x:c r="F451" s="9" t="str">
        <x:v>学一点，做好一点</x:v>
      </x:c>
      <x:c r="G451" s="9" t="str">
        <x:v>“见贤思齐”，我先从多学一点、做好一点开始。这杯敬您，愿您忙有所成，闲有所乐。</x:v>
      </x:c>
      <x:c r="H451" s="9" t="str">
        <x:v>借“见贤思齐”这句话，我也给自己定个实在的要求：多学一点，就争取做好一点。今天敬您一杯，祝您忙有所成、闲有所乐，工作生活都顺心。</x:v>
      </x:c>
      <x:c r="I451" s="9" t="str">
        <x:v>With respect, and a wish to learn a little more and do a little better each day.</x:v>
      </x:c>
      <x:c r="J451" s="9" t="str">
        <x:v>向您致敬，也愿自己每天多学一点、做好一点。</x:v>
      </x:c>
      <x:c r="K451" s="9" t="str">
        <x:v>practice</x:v>
      </x:c>
      <x:c r="L451" s="9" t="str">
        <x:v>《论语·里仁》：敬贤与笃行</x:v>
      </x:c>
      <x:c r="M451" s="9" t="str">
        <x:v>见贤思齐焉。君子欲讷于言而敏于行。</x:v>
      </x:c>
      <x:c r="N451" s="9" t="str">
        <x:v>用平常说话的速度；玩笑版本只适合已经熟悉、气氛轻松的场合。</x:v>
      </x:c>
      <x:c r="O451" s="9" t="str">
        <x:v>未限定</x:v>
      </x:c>
      <x:c r="P451" s="9" t="str">
        <x:v>未限定</x:v>
      </x:c>
      <x:c r="Q451" s="9" t="str">
        <x:v>未限定</x:v>
      </x:c>
      <x:c r="R451" s="9" t="str">
        <x:v>引句后整理</x:v>
      </x:c>
      <x:c r="S451" s="9" t="str">
        <x:v>雅致</x:v>
      </x:c>
      <x:c r="T451" s="9" t="str">
        <x:v>今天我以茶代酒，敬意一样。</x:v>
      </x:c>
      <x:c r="U451" s="9" t="str">
        <x:v>I’m raising a cup of tea, with the same warm wishes.</x:v>
      </x:c>
      <x:c r="V451" s="9" t="str">
        <x:v>“见贤思齐”，我先从多学一点、做好一点开始。这杯敬您，愿您忙有所成，闲有所乐。</x:v>
      </x:c>
      <x:c r="W451" s="9" t="str">
        <x:v>借“见贤思齐”这句话，我也给自己定个实在的要求：多学一点，就争取做好一点。今天敬您一杯，祝您忙有所成、闲有所乐，工作生活都顺心。</x:v>
      </x:c>
      <x:c r="X451" s="9" t="str">
        <x:v>spoken</x:v>
      </x:c>
      <x:c r="Y451" s="9" t="str">
        <x:v>verse</x:v>
      </x:c>
      <x:c r="Z451" s="9" t="str">
        <x:v>common</x:v>
      </x:c>
      <x:c r="AA451" s="12" t="str"/>
    </x:row>
    <x:row r="452" ht="42" customHeight="1">
      <x:c r="A452" s="8" t="str">
        <x:v>spoken-colleagues-04</x:v>
      </x:c>
      <x:c r="B452" s="10" t="n">
        <x:v>1</x:v>
      </x:c>
      <x:c r="C452" s="8" t="str">
        <x:v>熟句备查</x:v>
      </x:c>
      <x:c r="D452" s="8" t="str">
        <x:v>领导同事</x:v>
      </x:c>
      <x:c r="E452" s="8" t="str">
        <x:v>全桌</x:v>
      </x:c>
      <x:c r="F452" s="8" t="str">
        <x:v>事做好，人处好</x:v>
      </x:c>
      <x:c r="G452" s="8" t="str">
        <x:v>“敏于行”这三个字，我先送给自己：话慢慢学，事认真做。敬大家，愿咱们事做得好，人也处得好。</x:v>
      </x:c>
      <x:c r="H452" s="8" t="str">
        <x:v>“君子欲讷于言而敏于行。”今天用这句话提醒我自己：光说漂亮话不算，事情还得认真做。这杯敬大家，祝我们共事能商量，相处能体谅，把事做好，也把日子过好。</x:v>
      </x:c>
      <x:c r="I452" s="8" t="str">
        <x:v>To doing our work with care and treating one another with understanding.</x:v>
      </x:c>
      <x:c r="J452" s="8" t="str">
        <x:v>敬认真做事，也愿彼此多一分体谅。</x:v>
      </x:c>
      <x:c r="K452" s="8" t="str">
        <x:v>practice</x:v>
      </x:c>
      <x:c r="L452" s="8" t="str">
        <x:v>《论语·里仁》：敬贤与笃行</x:v>
      </x:c>
      <x:c r="M452" s="8" t="str">
        <x:v>见贤思齐焉。君子欲讷于言而敏于行。</x:v>
      </x:c>
      <x:c r="N452" s="8" t="str">
        <x:v>目光照顾全桌；普通同事说自己的感受，不替团队作承诺。</x:v>
      </x:c>
      <x:c r="O452" s="8" t="str">
        <x:v>未限定</x:v>
      </x:c>
      <x:c r="P452" s="8" t="str">
        <x:v>未限定</x:v>
      </x:c>
      <x:c r="Q452" s="8" t="str">
        <x:v>未限定</x:v>
      </x:c>
      <x:c r="R452" s="8" t="str">
        <x:v>引句后整理</x:v>
      </x:c>
      <x:c r="S452" s="8" t="str">
        <x:v>雅致</x:v>
      </x:c>
      <x:c r="T452" s="8" t="str">
        <x:v>今天我以茶代酒，心意都在。</x:v>
      </x:c>
      <x:c r="U452" s="8" t="str">
        <x:v>I’m raising a cup of tea, with the same warm wishes.</x:v>
      </x:c>
      <x:c r="V452" s="8" t="str">
        <x:v>“敏于行”这三个字，我先送给自己：话慢慢学，事认真做。敬大家，愿咱们事做得好，人也处得好。</x:v>
      </x:c>
      <x:c r="W452" s="8" t="str">
        <x:v>“君子欲讷于言而敏于行。”今天用这句话提醒我自己：光说漂亮话不算，事情还得认真做。这杯敬大家，祝我们共事能商量，相处能体谅，把事做好，也把日子过好。</x:v>
      </x:c>
      <x:c r="X452" s="8" t="str">
        <x:v>spoken</x:v>
      </x:c>
      <x:c r="Y452" s="8" t="str">
        <x:v>verse</x:v>
      </x:c>
      <x:c r="Z452" s="8" t="str">
        <x:v>common</x:v>
      </x:c>
      <x:c r="AA452" s="12" t="str"/>
    </x:row>
    <x:row r="453" ht="42" customHeight="1">
      <x:c r="A453" s="9" t="str">
        <x:v>spoken-colleagues-06</x:v>
      </x:c>
      <x:c r="B453" s="11" t="n">
        <x:v>1</x:v>
      </x:c>
      <x:c r="C453" s="9" t="str">
        <x:v>熟句备查</x:v>
      </x:c>
      <x:c r="D453" s="9" t="str">
        <x:v>领导同事</x:v>
      </x:c>
      <x:c r="E453" s="9" t="str">
        <x:v>全桌</x:v>
      </x:c>
      <x:c r="F453" s="9" t="str">
        <x:v>同桌就是好机会</x:v>
      </x:c>
      <x:c r="G453" s="9" t="str">
        <x:v>“有朋自远方来”，高兴的是相聚。今天同桌也是个好机会，敬大家，往后咱们多了解、多照应。</x:v>
      </x:c>
      <x:c r="H453" s="9" t="str">
        <x:v>“有朋自远方来，不亦乐乎？”今天不论远近，能同桌就是个好机会。我敬各位一杯，希望我们在工作里配合得顺，也在生活里记得彼此的好。</x:v>
      </x:c>
      <x:c r="I453" s="9" t="str">
        <x:v>To a shared table, better understanding, and looking out for one another.</x:v>
      </x:c>
      <x:c r="J453" s="9" t="str">
        <x:v>敬同桌相聚、彼此了解，也愿相互照应。</x:v>
      </x:c>
      <x:c r="K453" s="9" t="str">
        <x:v>welcoming</x:v>
      </x:c>
      <x:c r="L453" s="9" t="str">
        <x:v>《论语·学而》</x:v>
      </x:c>
      <x:c r="M453" s="9" t="str">
        <x:v>有朋自远方来，不亦乐乎？</x:v>
      </x:c>
      <x:c r="N453" s="9" t="str">
        <x:v>目光照顾全桌；普通同事说自己的感受，不替团队作承诺。</x:v>
      </x:c>
      <x:c r="O453" s="9" t="str">
        <x:v>未限定</x:v>
      </x:c>
      <x:c r="P453" s="9" t="str">
        <x:v>未限定</x:v>
      </x:c>
      <x:c r="Q453" s="9" t="str">
        <x:v>未限定</x:v>
      </x:c>
      <x:c r="R453" s="9" t="str">
        <x:v>引句后整理</x:v>
      </x:c>
      <x:c r="S453" s="9" t="str">
        <x:v>雅致</x:v>
      </x:c>
      <x:c r="T453" s="9" t="str">
        <x:v>我用茶陪大家，咱们自在就好。</x:v>
      </x:c>
      <x:c r="U453" s="9" t="str">
        <x:v>I’m raising a cup of tea, with the same warm wishes.</x:v>
      </x:c>
      <x:c r="V453" s="9" t="str">
        <x:v>“有朋自远方来”，高兴的是相聚。今天同桌也是个好机会，敬大家，往后咱们多了解、多照应。</x:v>
      </x:c>
      <x:c r="W453" s="9" t="str">
        <x:v>“有朋自远方来，不亦乐乎？”今天不论远近，能同桌就是个好机会。我敬各位一杯，希望我们在工作里配合得顺，也在生活里记得彼此的好。</x:v>
      </x:c>
      <x:c r="X453" s="9" t="str">
        <x:v>spoken</x:v>
      </x:c>
      <x:c r="Y453" s="9" t="str">
        <x:v>verse</x:v>
      </x:c>
      <x:c r="Z453" s="9" t="str">
        <x:v>common</x:v>
      </x:c>
      <x:c r="AA453" s="12" t="str"/>
    </x:row>
    <x:row r="454" ht="42" customHeight="1">
      <x:c r="A454" s="8" t="str">
        <x:v>spoken-colleagues-10</x:v>
      </x:c>
      <x:c r="B454" s="10" t="n">
        <x:v>1</x:v>
      </x:c>
      <x:c r="C454" s="8" t="str">
        <x:v>熟句备查</x:v>
      </x:c>
      <x:c r="D454" s="8" t="str">
        <x:v>领导同事</x:v>
      </x:c>
      <x:c r="E454" s="8" t="str">
        <x:v>全桌</x:v>
      </x:c>
      <x:c r="F454" s="8" t="str">
        <x:v>认真做，也别忘了歇</x:v>
      </x:c>
      <x:c r="G454" s="8" t="str">
        <x:v>借“敏于行”提醒自己认真做事，也借这杯祝大家该忙时有劲，该歇时安心。</x:v>
      </x:c>
      <x:c r="H454" s="8" t="str">
        <x:v>“敏于行”，说的是认真行动。今天也想把另一份祝福送给大家：该忙的时候做得顺，该歇的时候歇得下。来，敬各位的用心，也祝各位生活有自己的乐子。</x:v>
      </x:c>
      <x:c r="I454" s="8" t="str">
        <x:v>To doing good work and being able to switch off and rest afterwards.</x:v>
      </x:c>
      <x:c r="J454" s="8" t="str">
        <x:v>敬把工作做好，也愿忙完能安心休息。</x:v>
      </x:c>
      <x:c r="K454" s="8" t="str">
        <x:v>practice</x:v>
      </x:c>
      <x:c r="L454" s="8" t="str">
        <x:v>《论语·里仁》：敬贤与笃行</x:v>
      </x:c>
      <x:c r="M454" s="8" t="str">
        <x:v>见贤思齐焉。君子欲讷于言而敏于行。</x:v>
      </x:c>
      <x:c r="N454" s="8" t="str">
        <x:v>目光照顾全桌；普通同事说自己的感受，不替团队作承诺。</x:v>
      </x:c>
      <x:c r="O454" s="8" t="str">
        <x:v>未限定</x:v>
      </x:c>
      <x:c r="P454" s="8" t="str">
        <x:v>未限定</x:v>
      </x:c>
      <x:c r="Q454" s="8" t="str">
        <x:v>未限定</x:v>
      </x:c>
      <x:c r="R454" s="8" t="str">
        <x:v>引句后整理</x:v>
      </x:c>
      <x:c r="S454" s="8" t="str">
        <x:v>雅致</x:v>
      </x:c>
      <x:c r="T454" s="8" t="str">
        <x:v>今天我以茶代酒，心意都在。</x:v>
      </x:c>
      <x:c r="U454" s="8" t="str">
        <x:v>I’m raising a cup of tea, with the same warm wishes.</x:v>
      </x:c>
      <x:c r="V454" s="8" t="str">
        <x:v>借“敏于行”提醒自己认真做事，也借这杯祝大家该忙时有劲，该歇时安心。</x:v>
      </x:c>
      <x:c r="W454" s="8" t="str">
        <x:v>“敏于行”，说的是认真行动。今天也想把另一份祝福送给大家：该忙的时候做得顺，该歇的时候歇得下。来，敬各位的用心，也祝各位生活有自己的乐子。</x:v>
      </x:c>
      <x:c r="X454" s="8" t="str">
        <x:v>spoken</x:v>
      </x:c>
      <x:c r="Y454" s="8" t="str">
        <x:v>verse</x:v>
      </x:c>
      <x:c r="Z454" s="8" t="str">
        <x:v>common</x:v>
      </x:c>
      <x:c r="AA454" s="12" t="str"/>
    </x:row>
    <x:row r="455" ht="57" customHeight="1">
      <x:c r="A455" s="9" t="str">
        <x:v>work-verse-01</x:v>
      </x:c>
      <x:c r="B455" s="11" t="n">
        <x:v>1</x:v>
      </x:c>
      <x:c r="C455" s="9" t="str">
        <x:v>熟句备查</x:v>
      </x:c>
      <x:c r="D455" s="9" t="str">
        <x:v>领导同事</x:v>
      </x:c>
      <x:c r="E455" s="9" t="str">
        <x:v>全桌</x:v>
      </x:c>
      <x:c r="F455" s="9" t="str">
        <x:v>敏于行，暖于心</x:v>
      </x:c>
      <x:c r="G455" s="9" t="str">
        <x:v>古人说“敏于行”，愿我们把话说真，把事做实；同行有默契，日常有温度。
借这一杯，敬大家。</x:v>
      </x:c>
      <x:c r="H455" s="9" t="str">
        <x:v>《论语》讲“君子欲讷于言而敏于行”。今天借这一杯，也给自己提个醒：把话说真，把事做实。愿我们同行有默契，遇事能商量；每一份用心，都慢慢落成看得见的进益。
借这一杯，敬大家。</x:v>
      </x:c>
      <x:c r="I455" s="9" t="str">
        <x:v>To thoughtful words, purposeful action, and good work together.</x:v>
      </x:c>
      <x:c r="J455" s="9" t="str">
        <x:v>敬真诚的话、踏实的行动，也祝共事顺利。</x:v>
      </x:c>
      <x:c r="K455" s="9" t="str">
        <x:v>practice</x:v>
      </x:c>
      <x:c r="L455" s="9" t="str">
        <x:v>《论语·里仁》：敬贤与笃行</x:v>
      </x:c>
      <x:c r="M455" s="9" t="str">
        <x:v>见贤思齐焉。君子欲讷于言而敏于行。</x:v>
      </x:c>
      <x:c r="N455" s="9" t="str">
        <x:v>讷读nè，是言语谨慎；用于自勉，不批评他人话多。</x:v>
      </x:c>
      <x:c r="O455" s="9" t="str">
        <x:v>未限定</x:v>
      </x:c>
      <x:c r="P455" s="9" t="str">
        <x:v>未限定</x:v>
      </x:c>
      <x:c r="Q455" s="9" t="str">
        <x:v>未限定</x:v>
      </x:c>
      <x:c r="R455" s="9" t="str">
        <x:v>引句后整理</x:v>
      </x:c>
      <x:c r="S455" s="9" t="str">
        <x:v>雅致</x:v>
      </x:c>
      <x:c r="T455" s="9" t="str"/>
      <x:c r="U455" s="9" t="str"/>
      <x:c r="V455" s="9" t="str">
        <x:v>古人说“敏于行”，愿我们把话说真，把事做实；同行有默契，日常有温度。</x:v>
      </x:c>
      <x:c r="W455" s="9" t="str">
        <x:v>《论语》讲“君子欲讷于言而敏于行”。今天借这一杯，也给自己提个醒：把话说真，把事做实。愿我们同行有默契，遇事能商量；每一份用心，都慢慢落成看得见的进益。</x:v>
      </x:c>
      <x:c r="X455" s="9" t="str"/>
      <x:c r="Y455" s="9" t="str"/>
      <x:c r="Z455" s="9" t="str">
        <x:v>common</x:v>
      </x:c>
      <x:c r="AA455" s="12" t="str"/>
    </x:row>
  </x:sheetData>
  <x:conditionalFormatting sqref="C2:C455">
    <x:cfRule type="containsText" dxfId="0" priority="1" operator="containsText" text="熟句备查"/>
    <x:cfRule type="containsText" dxfId="1" priority="2" operator="containsText" text="历史版本"/>
  </x:conditionalFormatting>
  <x:pageMargins left="0.7" right="0.7" top="0.75" bottom="0.75" header="0.3" footer="0.3"/>
  <x:tableParts count="1">
    <x:tablePart xmlns:r="http://schemas.openxmlformats.org/officeDocument/2006/relationships" r:id="R8adfe61b68214f8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9" hidden="0" customWidth="1"/>
    <x:col min="2" max="2" width="48" hidden="0" customWidth="1"/>
    <x:col min="3" max="3" width="20" hidden="0" customWidth="1"/>
    <x:col min="4" max="4" width="44" hidden="0" customWidth="1"/>
    <x:col min="5" max="5" width="32" hidden="0" customWidth="1"/>
    <x:col min="6" max="6" width="60" hidden="0" customWidth="1"/>
    <x:col min="7" max="7" width="60" hidden="0" customWidth="1"/>
    <x:col min="8" max="8" width="75" hidden="0" customWidth="1"/>
    <x:col min="9" max="9" width="90" hidden="0" customWidth="1"/>
    <x:col min="10" max="10" width="72" hidden="0" customWidth="1"/>
    <x:col min="11" max="11" width="14" hidden="0" customWidth="1"/>
    <x:col min="12" max="12" width="110" hidden="0" customWidth="1"/>
    <x:col min="13" max="13" width="24" hidden="0" customWidth="1"/>
    <x:col min="14" max="14" width="70" hidden="0" customWidth="1"/>
  </x:cols>
  <x:sheetData>
    <x:row r="1" ht="38" customHeight="1">
      <x:c r="A1" s="7" t="str">
        <x:v>出处编号</x:v>
      </x:c>
      <x:c r="B1" s="7" t="str">
        <x:v>作者篇名或方法名称</x:v>
      </x:c>
      <x:c r="C1" s="7" t="str">
        <x:v>体裁标记</x:v>
      </x:c>
      <x:c r="D1" s="7" t="str">
        <x:v>书目或资料来源</x:v>
      </x:c>
      <x:c r="E1" s="7" t="str">
        <x:v>页码或定位</x:v>
      </x:c>
      <x:c r="F1" s="7" t="str">
        <x:v>记录原句</x:v>
      </x:c>
      <x:c r="G1" s="7" t="str">
        <x:v>引句列表</x:v>
      </x:c>
      <x:c r="H1" s="7" t="str">
        <x:v>原意说明</x:v>
      </x:c>
      <x:c r="I1" s="7" t="str">
        <x:v>核对及整理说明</x:v>
      </x:c>
      <x:c r="J1" s="7" t="str">
        <x:v>原作或资料链接</x:v>
      </x:c>
      <x:c r="K1" s="7" t="str">
        <x:v>关联文案版本数</x:v>
      </x:c>
      <x:c r="L1" s="7" t="str">
        <x:v>原作全文或完整条目</x:v>
      </x:c>
      <x:c r="M1" s="7" t="str">
        <x:v>全文范围</x:v>
      </x:c>
      <x:c r="N1" s="7" t="str">
        <x:v>全文核对说明</x:v>
      </x:c>
    </x:row>
    <x:row r="2" ht="102" customHeight="1">
      <x:c r="A2" s="8" t="str">
        <x:v>r04-shi-44</x:v>
      </x:c>
      <x:c r="B2" s="8" t="str">
        <x:v>《诗经·樛木》</x:v>
      </x:c>
      <x:c r="C2" s="8" t="str">
        <x:v>古诗</x:v>
      </x:c>
      <x:c r="D2" s="8" t="str">
        <x:v>王秀梅译注《诗经》（全二册）</x:v>
      </x:c>
      <x:c r="E2" s="8" t="str">
        <x:v>PDF 44—46</x:v>
      </x:c>
      <x:c r="F2" s="8" t="str">
        <x:v>乐只君子，福履绥之。</x:v>
      </x:c>
      <x:c r="G2" s="8" t="str">
        <x:v>乐只君子，福履绥之。</x:v>
      </x:c>
      <x:c r="H2" s="8" t="str">
        <x:v>祝福安乐福禄的诗；旧说及今解不同，借祝福，不套用依附关系。</x:v>
      </x:c>
      <x:c r="I2" s="8" t="str">
        <x:v>2026-10-29依据用户补充的实际版本核读原文及相关题解／注释。原作转简体，标点作阅读整理；祝酒文字为独立整理。</x:v>
      </x:c>
      <x:c r="J2" s="8" t="str"/>
      <x:c r="K2" s="10" t="n">
        <x:v>2</x:v>
      </x:c>
      <x:c r="L2" s="8" t="str">
        <x:v>南有樛木，葛藟累之。
乐只君子，福履绥之。
南有樛木，葛藟荒之。
乐只君子，福履将之。
南有樛木，葛藟萦之。
乐只君子，福履成之。</x:v>
      </x:c>
      <x:c r="M2" s="8" t="str">
        <x:v>原作全文</x:v>
      </x:c>
      <x:c r="N2" s="8" t="str"/>
    </x:row>
    <x:row r="3" ht="207" customHeight="1">
      <x:c r="A3" s="9" t="str">
        <x:v>r04-shi-232</x:v>
      </x:c>
      <x:c r="B3" s="9" t="str">
        <x:v>《诗经·淇奥》</x:v>
      </x:c>
      <x:c r="C3" s="9" t="str">
        <x:v>古诗</x:v>
      </x:c>
      <x:c r="D3" s="9" t="str">
        <x:v>王秀梅译注《诗经》（全二册）</x:v>
      </x:c>
      <x:c r="E3" s="9" t="str">
        <x:v>PDF 232—236</x:v>
      </x:c>
      <x:c r="F3" s="9" t="str">
        <x:v>善戏谑兮，不为虐兮。</x:v>
      </x:c>
      <x:c r="G3" s="9" t="str">
        <x:v>善戏谑兮，不为虐兮。</x:v>
      </x:c>
      <x:c r="H3" s="9" t="str">
        <x:v>赞美君子的修养与谈吐；取幽默有分寸，不拿人取笑。</x:v>
      </x:c>
      <x:c r="I3" s="9" t="str">
        <x:v>2026-10-29依据用户补充的实际版本核读原文及相关题解／注释。原作转简体，标点作阅读整理；祝酒文字为独立整理。</x:v>
      </x:c>
      <x:c r="J3" s="9" t="str"/>
      <x:c r="K3" s="11" t="n">
        <x:v>2</x:v>
      </x:c>
      <x:c r="L3" s="9" t="str">
        <x:v>瞻彼淇奥。
绿竹猗猗。
有匪君子，如切如磋，如琢如磨。
瑟兮僩兮，赫兮咺兮。
有匪君子，终不可谖兮。
瞻彼淇奥，绿竹青青。
有匪君子，充耳琇莹，会弁如星。
瑟兮僩兮，赫兮咺兮。
有匪君子，终不可谖兮。
瞻彼淇奥，绿竹如箦。
有匪君子，如金如锡，如圭如璧。
宽兮绰兮，猗重较兮。
善戏谑兮，不为虐兮。</x:v>
      </x:c>
      <x:c r="M3" s="9" t="str">
        <x:v>原作全文</x:v>
      </x:c>
      <x:c r="N3" s="9" t="str"/>
    </x:row>
    <x:row r="4" ht="102" customHeight="1">
      <x:c r="A4" s="8" t="str">
        <x:v>r04-shi-311</x:v>
      </x:c>
      <x:c r="B4" s="8" t="str">
        <x:v>《诗经·缁衣》</x:v>
      </x:c>
      <x:c r="C4" s="8" t="str">
        <x:v>古诗</x:v>
      </x:c>
      <x:c r="D4" s="8" t="str">
        <x:v>王秀梅译注《诗经》（全二册）</x:v>
      </x:c>
      <x:c r="E4" s="8" t="str">
        <x:v>PDF 311—313</x:v>
      </x:c>
      <x:c r="F4" s="8" t="str">
        <x:v>适子之馆兮</x:v>
      </x:c>
      <x:c r="G4" s="8" t="str">
        <x:v>适子之馆兮</x:v>
      </x:c>
      <x:c r="H4" s="8" t="str">
        <x:v>赠衣、照顾生活的诗，亦有美德说；不预设对方为用户缝过衣。</x:v>
      </x:c>
      <x:c r="I4" s="8" t="str">
        <x:v>2026-10-29依据用户补充的实际版本核读原文及相关题解／注释。原作转简体，标点作阅读整理；祝酒文字为独立整理。</x:v>
      </x:c>
      <x:c r="J4" s="8" t="str"/>
      <x:c r="K4" s="10" t="n">
        <x:v>2</x:v>
      </x:c>
      <x:c r="L4" s="8" t="str">
        <x:v>缁衣之宜兮，敝，予又改为兮。
适子之馆兮，还，予授子之粲兮。
缁衣之好兮，敝，予又改造兮。
适子之馆兮，还，予授子之粲兮。
缁衣之席兮，敝，予又改作兮。
适子之馆兮，还，予授子之粲兮。</x:v>
      </x:c>
      <x:c r="M4" s="8" t="str">
        <x:v>原作全文</x:v>
      </x:c>
      <x:c r="N4" s="8" t="str"/>
    </x:row>
    <x:row r="5" ht="72" customHeight="1">
      <x:c r="A5" s="9" t="str">
        <x:v>r04-shi-335</x:v>
      </x:c>
      <x:c r="B5" s="9" t="str">
        <x:v>《诗经·女曰鸡鸣》</x:v>
      </x:c>
      <x:c r="C5" s="9" t="str">
        <x:v>古诗</x:v>
      </x:c>
      <x:c r="D5" s="9" t="str">
        <x:v>王秀梅译注《诗经》（全二册）</x:v>
      </x:c>
      <x:c r="E5" s="9" t="str">
        <x:v>PDF 335—338</x:v>
      </x:c>
      <x:c r="F5" s="9" t="str">
        <x:v>琴瑟在御，莫不静好。</x:v>
      </x:c>
      <x:c r="G5" s="9" t="str">
        <x:v>琴瑟在御，莫不静好。</x:v>
      </x:c>
      <x:c r="H5" s="9" t="str">
        <x:v>夫妻对话与日常相伴；只用于家人、长期相处，不给相亲初见强加白头承诺。</x:v>
      </x:c>
      <x:c r="I5" s="9" t="str">
        <x:v>2026-10-29依据用户补充的实际版本核读原文及相关题解／注释。原作转简体，标点作阅读整理；祝酒文字为独立整理。</x:v>
      </x:c>
      <x:c r="J5" s="9" t="str"/>
      <x:c r="K5" s="11" t="n">
        <x:v>2</x:v>
      </x:c>
      <x:c r="L5" s="9" t="str">
        <x:v>女曰：“鸡鸣。”士曰：“昧旦。”
“子兴视夜，明星有烂。”“将翱将翔，弋凫与雁。”
“弋言加之，与子宜之。宜言饮酒，与子偕老。琴瑟在御，莫不静好。”
“知子之来之，杂佩以赠之。知子之顺之，杂佩以问之。知子之好之，杂佩以报之。”</x:v>
      </x:c>
      <x:c r="M5" s="9" t="str">
        <x:v>原作全文</x:v>
      </x:c>
      <x:c r="N5" s="9" t="str"/>
    </x:row>
    <x:row r="6" ht="102" customHeight="1">
      <x:c r="A6" s="8" t="str">
        <x:v>r04-shi-339</x:v>
      </x:c>
      <x:c r="B6" s="8" t="str">
        <x:v>《诗经·有女同车》</x:v>
      </x:c>
      <x:c r="C6" s="8" t="str">
        <x:v>古诗</x:v>
      </x:c>
      <x:c r="D6" s="8" t="str">
        <x:v>王秀梅译注《诗经》（全二册）</x:v>
      </x:c>
      <x:c r="E6" s="8" t="str">
        <x:v>PDF 339—341</x:v>
      </x:c>
      <x:c r="F6" s="8" t="str">
        <x:v>德音不忘。</x:v>
      </x:c>
      <x:c r="G6" s="8" t="str">
        <x:v>德音不忘。</x:v>
      </x:c>
      <x:c r="H6" s="8" t="str">
        <x:v>恋歌赞美人的容貌与品德；借不忘好意，不把初识写成已相爱。</x:v>
      </x:c>
      <x:c r="I6" s="8" t="str">
        <x:v>2026-10-29依据用户补充的实际版本核读原文及相关题解／注释。原作转简体，标点作阅读整理；祝酒文字为独立整理。</x:v>
      </x:c>
      <x:c r="J6" s="8" t="str"/>
      <x:c r="K6" s="10" t="n">
        <x:v>2</x:v>
      </x:c>
      <x:c r="L6" s="8" t="str">
        <x:v>有女同车，颜如舜华。
将翱将翔，佩玉琼琚。
彼美孟姜，洵美且都。
有女同行，颜如舜英。
将翱将翔，佩玉将将。
彼美孟姜，德音不忘。</x:v>
      </x:c>
      <x:c r="M6" s="8" t="str">
        <x:v>原作全文</x:v>
      </x:c>
      <x:c r="N6" s="8" t="str"/>
    </x:row>
    <x:row r="7" ht="102" customHeight="1">
      <x:c r="A7" s="9" t="str">
        <x:v>r04-shi-357</x:v>
      </x:c>
      <x:c r="B7" s="9" t="str">
        <x:v>《诗经·风雨》</x:v>
      </x:c>
      <x:c r="C7" s="9" t="str">
        <x:v>古诗</x:v>
      </x:c>
      <x:c r="D7" s="9" t="str">
        <x:v>王秀梅译注《诗经》（全二册）</x:v>
      </x:c>
      <x:c r="E7" s="9" t="str">
        <x:v>PDF 357—359</x:v>
      </x:c>
      <x:c r="F7" s="9" t="str">
        <x:v>既见君子，云胡不喜？</x:v>
      </x:c>
      <x:c r="G7" s="9" t="str">
        <x:v>既见君子，云胡不喜？</x:v>
      </x:c>
      <x:c r="H7" s="9" t="str">
        <x:v>原为久别相见的喜悦，今借重逢；不声称现场有风雨或彼此有夫妻关系。</x:v>
      </x:c>
      <x:c r="I7" s="9" t="str">
        <x:v>2026-10-29依据用户补充的实际版本核读原文及相关题解／注释。原作转简体，标点作阅读整理；祝酒文字为独立整理。</x:v>
      </x:c>
      <x:c r="J7" s="9" t="str"/>
      <x:c r="K7" s="11" t="n">
        <x:v>2</x:v>
      </x:c>
      <x:c r="L7" s="9" t="str">
        <x:v>风雨凄凄，鸡鸣喈喈。
既见君子，云胡不夷？
风雨潇潇，鸡鸣㬵㬵。
既见君子，云胡不瘳？
风雨如晦，鸡鸣不已。
既见君子，云胡不喜？</x:v>
      </x:c>
      <x:c r="M7" s="9" t="str">
        <x:v>原作全文</x:v>
      </x:c>
      <x:c r="N7" s="9" t="str"/>
    </x:row>
    <x:row r="8" ht="102" customHeight="1">
      <x:c r="A8" s="8" t="str">
        <x:v>r04-shi-369</x:v>
      </x:c>
      <x:c r="B8" s="8" t="str">
        <x:v>《诗经·野有蔓草》</x:v>
      </x:c>
      <x:c r="C8" s="8" t="str">
        <x:v>古诗</x:v>
      </x:c>
      <x:c r="D8" s="8" t="str">
        <x:v>王秀梅译注《诗经》（全二册）</x:v>
      </x:c>
      <x:c r="E8" s="8" t="str">
        <x:v>PDF 369—371</x:v>
      </x:c>
      <x:c r="F8" s="8" t="str">
        <x:v>邂逅相遇，适我愿兮。</x:v>
      </x:c>
      <x:c r="G8" s="8" t="str">
        <x:v>邂逅相遇，适我愿兮。</x:v>
      </x:c>
      <x:c r="H8" s="8" t="str">
        <x:v>男女相遇的情歌；初识只取相逢之喜，不替对方表白。</x:v>
      </x:c>
      <x:c r="I8" s="8" t="str">
        <x:v>2026-10-29依据用户补充的实际版本核读原文及相关题解／注释。原作转简体，标点作阅读整理；祝酒文字为独立整理。</x:v>
      </x:c>
      <x:c r="J8" s="8" t="str"/>
      <x:c r="K8" s="10" t="n">
        <x:v>2</x:v>
      </x:c>
      <x:c r="L8" s="8" t="str">
        <x:v>野有蔓草，零露漙兮。
有美一人，清扬婉兮。
邂逅相遇，适我愿兮。
野有蔓草，零露瀼瀼。
有美一人，婉如清扬。
邂逅相遇，与子偕臧。</x:v>
      </x:c>
      <x:c r="M8" s="8" t="str">
        <x:v>原作全文</x:v>
      </x:c>
      <x:c r="N8" s="8" t="str"/>
    </x:row>
    <x:row r="9" ht="102" customHeight="1">
      <x:c r="A9" s="9" t="str">
        <x:v>r04-shi-469</x:v>
      </x:c>
      <x:c r="B9" s="9" t="str">
        <x:v>《诗经·有杕之杜》</x:v>
      </x:c>
      <x:c r="C9" s="9" t="str">
        <x:v>古诗</x:v>
      </x:c>
      <x:c r="D9" s="9" t="str">
        <x:v>王秀梅译注《诗经》（全二册）</x:v>
      </x:c>
      <x:c r="E9" s="9" t="str">
        <x:v>PDF 469—471</x:v>
      </x:c>
      <x:c r="F9" s="9" t="str">
        <x:v>中心好之，曷饮食之。</x:v>
      </x:c>
      <x:c r="G9" s="9" t="str">
        <x:v>中心好之，曷饮食之。</x:v>
      </x:c>
      <x:c r="H9" s="9" t="str">
        <x:v>求贤、求食、求爱诸说并存；借款待心意，不把一种解释说成定论。</x:v>
      </x:c>
      <x:c r="I9" s="9" t="str">
        <x:v>2026-10-29依据用户补充的实际版本核读原文及相关题解／注释。原作转简体，标点作阅读整理；祝酒文字为独立整理。</x:v>
      </x:c>
      <x:c r="J9" s="9" t="str"/>
      <x:c r="K9" s="11" t="n">
        <x:v>2</x:v>
      </x:c>
      <x:c r="L9" s="9" t="str">
        <x:v>有杕之杜，生于道左。
彼君子兮，噬肯适我？
中心好之，曷饮食之。
有杕之杜，生于道周。
彼君子兮，噬肯来游？
中心好之，曷饮食之。</x:v>
      </x:c>
      <x:c r="M9" s="9" t="str">
        <x:v>原作全文</x:v>
      </x:c>
      <x:c r="N9" s="9" t="str"/>
    </x:row>
    <x:row r="10" ht="162" customHeight="1">
      <x:c r="A10" s="8" t="str">
        <x:v>r04-shi-637</x:v>
      </x:c>
      <x:c r="B10" s="8" t="str">
        <x:v>《诗经·皇皇者华》</x:v>
      </x:c>
      <x:c r="C10" s="8" t="str">
        <x:v>古诗</x:v>
      </x:c>
      <x:c r="D10" s="8" t="str">
        <x:v>王秀梅译注《诗经》（全二册）</x:v>
      </x:c>
      <x:c r="E10" s="8" t="str">
        <x:v>PDF 637—641</x:v>
      </x:c>
      <x:c r="F10" s="8" t="str">
        <x:v>周爰咨询。</x:v>
      </x:c>
      <x:c r="G10" s="8" t="str">
        <x:v>周爰咨询。</x:v>
      </x:c>
      <x:c r="H10" s="8" t="str">
        <x:v>使臣奔走访问、广求意见；借请教，不影射今天的职务身份。</x:v>
      </x:c>
      <x:c r="I10" s="8" t="str">
        <x:v>2026-10-29依据用户补充的实际版本核读原文及相关题解／注释。原作转简体，标点作阅读整理；祝酒文字为独立整理。</x:v>
      </x:c>
      <x:c r="J10" s="8" t="str"/>
      <x:c r="K10" s="10" t="n">
        <x:v>2</x:v>
      </x:c>
      <x:c r="L10" s="8" t="str">
        <x:v>皇皇者华，于彼原隰。
駪駪征夫，每怀靡及。
我马维驹，六辔如濡。
载驰载驱，周爰咨诹。
我马维骐，六辔如丝。
载驰载驱，周爰咨谋。
我马维骆，六辔沃若。
载驰载驱，周爰咨度。
我马维骃，六辔既均。
载驰载驱，周爰咨询。</x:v>
      </x:c>
      <x:c r="M10" s="8" t="str">
        <x:v>原作全文</x:v>
      </x:c>
      <x:c r="N10" s="8" t="str"/>
    </x:row>
    <x:row r="11" ht="252" customHeight="1">
      <x:c r="A11" s="9" t="str">
        <x:v>r04-shi-642</x:v>
      </x:c>
      <x:c r="B11" s="9" t="str">
        <x:v>《诗经·常棣》</x:v>
      </x:c>
      <x:c r="C11" s="9" t="str">
        <x:v>古诗</x:v>
      </x:c>
      <x:c r="D11" s="9" t="str">
        <x:v>王秀梅译注《诗经》（全二册）</x:v>
      </x:c>
      <x:c r="E11" s="9" t="str">
        <x:v>PDF 642—648</x:v>
      </x:c>
      <x:c r="F11" s="9" t="str">
        <x:v>兄弟既具，和乐且孺。</x:v>
      </x:c>
      <x:c r="G11" s="9" t="str">
        <x:v>兄弟既具，和乐且孺。</x:v>
      </x:c>
      <x:c r="H11" s="9" t="str">
        <x:v>兄弟亲族宴饮的诗；珍惜团聚，不照搬原诗对朋友与兄弟的高下判断。</x:v>
      </x:c>
      <x:c r="I11" s="9" t="str">
        <x:v>2026-10-29依据用户补充的实际版本核读原文及相关题解／注释。原作转简体，标点作阅读整理；祝酒文字为独立整理。</x:v>
      </x:c>
      <x:c r="J11" s="9" t="str"/>
      <x:c r="K11" s="11" t="n">
        <x:v>2</x:v>
      </x:c>
      <x:c r="L11" s="9" t="str">
        <x:v>常棣之华，鄂不韡韡。
凡今之人，莫如兄弟。
死丧之威，兄弟孔怀。
原隰裒矣，兄弟求矣。
脊令在原，兄弟急难。
每有良朋，况也永叹。
兄弟阋于墙，外御其务。
每有良朋，烝也无戎。
丧乱既平，既安且宁。
虽有兄弟，不如友生。
傧尔笾豆，饮酒之饫。
兄弟既具，和乐且孺。
妻子好合，如鼓瑟琴。
兄弟既翕，和乐且湛。
宜尔室家，乐尔妻帑。
是究是图，亶其然乎？</x:v>
      </x:c>
      <x:c r="M11" s="9" t="str">
        <x:v>原作全文</x:v>
      </x:c>
      <x:c r="N11" s="9" t="str"/>
    </x:row>
    <x:row r="12" ht="252" customHeight="1">
      <x:c r="A12" s="8" t="str">
        <x:v>r04-shi-649</x:v>
      </x:c>
      <x:c r="B12" s="8" t="str">
        <x:v>《诗经·伐木》</x:v>
      </x:c>
      <x:c r="C12" s="8" t="str">
        <x:v>古诗</x:v>
      </x:c>
      <x:c r="D12" s="8" t="str">
        <x:v>王秀梅译注《诗经》（全二册）</x:v>
      </x:c>
      <x:c r="E12" s="8" t="str">
        <x:v>PDF 649—654</x:v>
      </x:c>
      <x:c r="F12" s="8" t="str">
        <x:v>嘤其鸣矣，求其友声。</x:v>
      </x:c>
      <x:c r="G12" s="8" t="str">
        <x:v>嘤其鸣矣，求其友声。</x:v>
      </x:c>
      <x:c r="H12" s="8" t="str">
        <x:v>宴请亲朋故旧；友声为同类之声，不等同于只听赞同自己的话。</x:v>
      </x:c>
      <x:c r="I12" s="8" t="str">
        <x:v>2026-10-29依据用户补充的实际版本核读原文及相关题解／注释。原作转简体，标点作阅读整理；祝酒文字为独立整理。</x:v>
      </x:c>
      <x:c r="J12" s="8" t="str"/>
      <x:c r="K12" s="10" t="n">
        <x:v>2</x:v>
      </x:c>
      <x:c r="L12" s="8" t="str">
        <x:v>伐木丁丁，鸟鸣嘤嘤。出自幽谷，迁于乔木。嘤其鸣矣，求其友声。
相彼鸟矣，犹求友声。
矧伊人矣，不求友生？
神之听之，终和且平。
伐木许许，酾酒有藇。
既有肥羜，以速诸父。
宁适不来，微我弗顾。
于粲洒扫，陈馈八簋。
既有肥牡，以速诸舅。
宁适不来，微我有咎。
伐木于阪，酾酒有衍。
笾豆有践，兄弟无远。
民之失德，干糇以愆。
有酒湑我，无酒酤我。
坎坎鼓我，蹲蹲舞我。
迨我暇矣，饮此湑矣。</x:v>
      </x:c>
      <x:c r="M12" s="8" t="str">
        <x:v>原作全文</x:v>
      </x:c>
      <x:c r="N12" s="8" t="str"/>
    </x:row>
    <x:row r="13" ht="282" customHeight="1">
      <x:c r="A13" s="9" t="str">
        <x:v>r04-shi-655</x:v>
      </x:c>
      <x:c r="B13" s="9" t="str">
        <x:v>《诗经·天保》</x:v>
      </x:c>
      <x:c r="C13" s="9" t="str">
        <x:v>古诗</x:v>
      </x:c>
      <x:c r="D13" s="9" t="str">
        <x:v>王秀梅译注《诗经》（全二册）</x:v>
      </x:c>
      <x:c r="E13" s="9" t="str">
        <x:v>PDF 655—661</x:v>
      </x:c>
      <x:c r="F13" s="9" t="str">
        <x:v>如川之方至，以莫不增。</x:v>
      </x:c>
      <x:c r="G13" s="9" t="str">
        <x:v>如川之方至，以莫不增。</x:v>
      </x:c>
      <x:c r="H13" s="9" t="str">
        <x:v>原为臣下祝颂君主；借河水渐盛的意象，祝愿不是实际业绩承诺。</x:v>
      </x:c>
      <x:c r="I13" s="9" t="str">
        <x:v>2026-10-29依据用户补充的实际版本核读原文及相关题解／注释。原作转简体，标点作阅读整理；祝酒文字为独立整理。</x:v>
      </x:c>
      <x:c r="J13" s="9" t="str"/>
      <x:c r="K13" s="11" t="n">
        <x:v>2</x:v>
      </x:c>
      <x:c r="L13" s="9" t="str">
        <x:v>天保定尔，亦孔之固。
俾尔单厚，何福不除？
俾尔多益，以莫不庶。
天保定尔，俾尔戬谷。
罄无不宜，受天百禄。
降尔遐福，维日不足。
天保定尔，以莫不兴。
如山如阜，如冈如陵。
如川之方至，以莫不增。
吉蠲为饎，是用孝享。
禴祠烝尝，于公先王。
君曰卜尔，万寿无疆。
神之吊矣，诒尔多福。
民之质矣，日用饮食。
群黎百姓，遍为尔德。
如月之恒，如日之升。
如南山之寿，不骞不崩。
如松柏之茂，无不尔或承。</x:v>
      </x:c>
      <x:c r="M13" s="9" t="str">
        <x:v>原作全文</x:v>
      </x:c>
      <x:c r="N13" s="9" t="str"/>
    </x:row>
    <x:row r="14" ht="147" customHeight="1">
      <x:c r="A14" s="8" t="str">
        <x:v>r04-shi-683</x:v>
      </x:c>
      <x:c r="B14" s="8" t="str">
        <x:v>《诗经·鱼丽》</x:v>
      </x:c>
      <x:c r="C14" s="8" t="str">
        <x:v>古诗</x:v>
      </x:c>
      <x:c r="D14" s="8" t="str">
        <x:v>王秀梅译注《诗经》（全二册）</x:v>
      </x:c>
      <x:c r="E14" s="8" t="str">
        <x:v>PDF 683—686</x:v>
      </x:c>
      <x:c r="F14" s="8" t="str">
        <x:v>物其多矣，惟其嘉矣！</x:v>
      </x:c>
      <x:c r="G14" s="8" t="str">
        <x:v>物其多矣，惟其嘉矣！</x:v>
      </x:c>
      <x:c r="H14" s="8" t="str">
        <x:v>贵族宴飨之歌；借食物丰足、相聚愉快，不赞奢侈排场。</x:v>
      </x:c>
      <x:c r="I14" s="8" t="str">
        <x:v>2026-10-29依据用户补充的实际版本核读原文及相关题解／注释。原作转简体，标点作阅读整理；祝酒文字为独立整理。</x:v>
      </x:c>
      <x:c r="J14" s="8" t="str"/>
      <x:c r="K14" s="10" t="n">
        <x:v>2</x:v>
      </x:c>
      <x:c r="L14" s="8" t="str">
        <x:v>鱼丽于罶，鲿鲨。
君子有酒，旨且多。
鱼丽于罶，鲂鳢。
君子有酒，多且旨。
鱼丽于罶，鰋鲤。
君子有酒，旨且有。
物其多矣，惟其嘉矣！
物其旨矣，惟其偕矣！
物其有矣，惟其时矣！</x:v>
      </x:c>
      <x:c r="M14" s="8" t="str">
        <x:v>原作全文</x:v>
      </x:c>
      <x:c r="N14" s="8" t="str"/>
    </x:row>
    <x:row r="15" ht="132" customHeight="1">
      <x:c r="A15" s="9" t="str">
        <x:v>r04-shi-687</x:v>
      </x:c>
      <x:c r="B15" s="9" t="str">
        <x:v>《诗经·南有嘉鱼》</x:v>
      </x:c>
      <x:c r="C15" s="9" t="str">
        <x:v>古诗</x:v>
      </x:c>
      <x:c r="D15" s="9" t="str">
        <x:v>王秀梅译注《诗经》（全二册）</x:v>
      </x:c>
      <x:c r="E15" s="9" t="str">
        <x:v>PDF 687—690</x:v>
      </x:c>
      <x:c r="F15" s="9" t="str">
        <x:v>君子有酒，嘉宾式燕以乐。</x:v>
      </x:c>
      <x:c r="G15" s="9" t="str">
        <x:v>君子有酒，嘉宾式燕以乐。</x:v>
      </x:c>
      <x:c r="H15" s="9" t="str">
        <x:v>宾主宴饮相乐；仅借相聚之乐，不要求客人饮酒。</x:v>
      </x:c>
      <x:c r="I15" s="9" t="str">
        <x:v>2026-10-29依据用户补充的实际版本核读原文及相关题解／注释。原作转简体，标点作阅读整理；祝酒文字为独立整理。</x:v>
      </x:c>
      <x:c r="J15" s="9" t="str"/>
      <x:c r="K15" s="11" t="n">
        <x:v>2</x:v>
      </x:c>
      <x:c r="L15" s="9" t="str">
        <x:v>南有嘉鱼，烝然罩罩。
君子有酒，嘉宾式燕以乐。
南有嘉鱼，烝然汕汕。
君子有酒，嘉宾式燕以衎。
南有樛木，甘瓠累之。
君子有酒，嘉宾式燕绥之。
翩翩者鵻，烝然来思。
君子有酒，嘉宾式燕又思。</x:v>
      </x:c>
      <x:c r="M15" s="9" t="str">
        <x:v>原作全文</x:v>
      </x:c>
      <x:c r="N15" s="9" t="str"/>
    </x:row>
    <x:row r="16" ht="237" customHeight="1">
      <x:c r="A16" s="8" t="str">
        <x:v>r04-shi-691</x:v>
      </x:c>
      <x:c r="B16" s="8" t="str">
        <x:v>《诗经·南山有台》</x:v>
      </x:c>
      <x:c r="C16" s="8" t="str">
        <x:v>古诗</x:v>
      </x:c>
      <x:c r="D16" s="8" t="str">
        <x:v>王秀梅译注《诗经》（全二册）</x:v>
      </x:c>
      <x:c r="E16" s="8" t="str">
        <x:v>PDF 691—696</x:v>
      </x:c>
      <x:c r="F16" s="8" t="str">
        <x:v>乐只君子，德音不已！</x:v>
      </x:c>
      <x:c r="G16" s="8" t="str">
        <x:v>乐只君子，德音不已！</x:v>
      </x:c>
      <x:c r="H16" s="8" t="str">
        <x:v>祝颂得贤与美德；借好名声与好心意长在，不将普通聚会拟作朝会。</x:v>
      </x:c>
      <x:c r="I16" s="8" t="str">
        <x:v>2026-10-29依据用户补充的实际版本核读原文及相关题解／注释。原作转简体，标点作阅读整理；祝酒文字为独立整理。</x:v>
      </x:c>
      <x:c r="J16" s="8" t="str"/>
      <x:c r="K16" s="10" t="n">
        <x:v>2</x:v>
      </x:c>
      <x:c r="L16" s="8" t="str">
        <x:v>南山有台，北山有莱。
乐只君子，邦家之基。
乐只君子，万寿无期！
南山有桑，北山有杨。
乐只君子，邦家之光。
乐只君子，万寿无疆！
南山有杞，北山有李。
乐只君子，民之父母。
乐只君子，德音不已！
南山有栲，北山有杻。
乐只君子，遐不眉寿。
乐只君子，德音是茂！
南山有枸，北山有楰。
乐只君子，遐不黄耇。
乐只君子，保艾尔后！</x:v>
      </x:c>
      <x:c r="M16" s="8" t="str">
        <x:v>原作全文</x:v>
      </x:c>
      <x:c r="N16" s="8" t="str"/>
    </x:row>
    <x:row r="17" ht="207" customHeight="1">
      <x:c r="A17" s="9" t="str">
        <x:v>r04-shi-697</x:v>
      </x:c>
      <x:c r="B17" s="9" t="str">
        <x:v>《诗经·蓼萧》</x:v>
      </x:c>
      <x:c r="C17" s="9" t="str">
        <x:v>古诗</x:v>
      </x:c>
      <x:c r="D17" s="9" t="str">
        <x:v>王秀梅译注《诗经》（全二册）</x:v>
      </x:c>
      <x:c r="E17" s="9" t="str">
        <x:v>PDF 697—701</x:v>
      </x:c>
      <x:c r="F17" s="9" t="str">
        <x:v>既见君子，我心写兮。</x:v>
      </x:c>
      <x:c r="G17" s="9" t="str">
        <x:v>既见君子，我心写兮。</x:v>
      </x:c>
      <x:c r="H17" s="9" t="str">
        <x:v>原有朝见宴饮语境，写通泻、舒畅；借见面后心中舒展，不混作写字。</x:v>
      </x:c>
      <x:c r="I17" s="9" t="str">
        <x:v>2026-10-29依据用户补充的实际版本核读原文及相关题解／注释。原作转简体，标点作阅读整理；祝酒文字为独立整理。</x:v>
      </x:c>
      <x:c r="J17" s="9" t="str"/>
      <x:c r="K17" s="11" t="n">
        <x:v>2</x:v>
      </x:c>
      <x:c r="L17" s="9" t="str">
        <x:v>蓼彼萧斯，零露湑兮。
既见君子，我心写兮。
燕笑语兮，是以有誉处兮。
蓼彼萧斯，零露瀼瀼。
既见君子，为龙为光。
其德不爽，寿考不忘。
蓼彼萧斯，零露泥泥。
既见君子，孔燕岂弟。
宜兄宜弟。
令德寿岂。
蓼彼萧斯，零露浓浓。
既见君子，鞗革冲冲。
和鸾雍雍，万福攸同。</x:v>
      </x:c>
      <x:c r="M17" s="9" t="str">
        <x:v>原作全文</x:v>
      </x:c>
      <x:c r="N17" s="9" t="str"/>
    </x:row>
    <x:row r="18" ht="132" customHeight="1">
      <x:c r="A18" s="8" t="str">
        <x:v>r04-shi-702</x:v>
      </x:c>
      <x:c r="B18" s="8" t="str">
        <x:v>《诗经·湛露》</x:v>
      </x:c>
      <x:c r="C18" s="8" t="str">
        <x:v>古诗</x:v>
      </x:c>
      <x:c r="D18" s="8" t="str">
        <x:v>王秀梅译注《诗经》（全二册）</x:v>
      </x:c>
      <x:c r="E18" s="8" t="str">
        <x:v>PDF 702—705</x:v>
      </x:c>
      <x:c r="F18" s="8" t="str">
        <x:v>岂弟君子，莫不令仪。</x:v>
      </x:c>
      <x:c r="G18" s="8" t="str">
        <x:v>岂弟君子，莫不令仪。</x:v>
      </x:c>
      <x:c r="H18" s="8" t="str">
        <x:v>天子宴诸侯之诗，含不醉无归；此处只取和乐有仪，不沿用劝醉语。</x:v>
      </x:c>
      <x:c r="I18" s="8" t="str">
        <x:v>2026-10-29依据用户补充的实际版本核读原文及相关题解／注释。原作转简体，标点作阅读整理；祝酒文字为独立整理。</x:v>
      </x:c>
      <x:c r="J18" s="8" t="str"/>
      <x:c r="K18" s="10" t="n">
        <x:v>2</x:v>
      </x:c>
      <x:c r="L18" s="8" t="str">
        <x:v>湛湛露斯，匪阳不晞。
厌厌夜饮，不醉无归。
湛湛露斯，在彼丰草。
厌厌夜饮，在宗载考。
湛湛露斯，在彼杞棘。
显允君子，莫不令德。
其桐其椅，其实离离。
岂弟君子，莫不令仪。</x:v>
      </x:c>
      <x:c r="M18" s="8" t="str">
        <x:v>原作全文</x:v>
      </x:c>
      <x:c r="N18" s="8" t="str"/>
    </x:row>
    <x:row r="19" ht="147" customHeight="1">
      <x:c r="A19" s="9" t="str">
        <x:v>r04-shi-706</x:v>
      </x:c>
      <x:c r="B19" s="9" t="str">
        <x:v>《诗经·彤弓》</x:v>
      </x:c>
      <x:c r="C19" s="9" t="str">
        <x:v>古诗</x:v>
      </x:c>
      <x:c r="D19" s="9" t="str">
        <x:v>王秀梅译注《诗经》（全二册）</x:v>
      </x:c>
      <x:c r="E19" s="9" t="str">
        <x:v>PDF 706—709</x:v>
      </x:c>
      <x:c r="F19" s="9" t="str">
        <x:v>我有嘉宾，中心喜之。</x:v>
      </x:c>
      <x:c r="G19" s="9" t="str">
        <x:v>我有嘉宾，中心喜之。</x:v>
      </x:c>
      <x:c r="H19" s="9" t="str">
        <x:v>原为天子赐弓设宴；仅取欢迎嘉宾，不把主人写成君王。</x:v>
      </x:c>
      <x:c r="I19" s="9" t="str">
        <x:v>2026-10-29依据用户补充的实际版本核读原文及相关题解／注释。原作转简体，标点作阅读整理；祝酒文字为独立整理。</x:v>
      </x:c>
      <x:c r="J19" s="9" t="str"/>
      <x:c r="K19" s="11" t="n">
        <x:v>2</x:v>
      </x:c>
      <x:c r="L19" s="9" t="str">
        <x:v>彤弓弨兮，受言藏之。
我有嘉宾，中心贶之。
钟鼓既设，一朝飨之。
彤弓弨兮，受言载之。
我有嘉宾，中心喜之。
钟鼓既设，一朝右之。
彤弓弨兮，受言櫜之。
我有嘉宾，中心好之。
钟鼓既设，一朝酬之。</x:v>
      </x:c>
      <x:c r="M19" s="9" t="str">
        <x:v>原作全文</x:v>
      </x:c>
      <x:c r="N19" s="9" t="str"/>
    </x:row>
    <x:row r="20" ht="132" customHeight="1">
      <x:c r="A20" s="8" t="str">
        <x:v>r04-shi-710</x:v>
      </x:c>
      <x:c r="B20" s="8" t="str">
        <x:v>《诗经·菁菁者莪》</x:v>
      </x:c>
      <x:c r="C20" s="8" t="str">
        <x:v>古诗</x:v>
      </x:c>
      <x:c r="D20" s="8" t="str">
        <x:v>王秀梅译注《诗经》（全二册）</x:v>
      </x:c>
      <x:c r="E20" s="8" t="str">
        <x:v>PDF 710—713</x:v>
      </x:c>
      <x:c r="F20" s="8" t="str">
        <x:v>既见君子，我心则喜。</x:v>
      </x:c>
      <x:c r="G20" s="8" t="str">
        <x:v>既见君子，我心则喜。</x:v>
      </x:c>
      <x:c r="H20" s="8" t="str">
        <x:v>有乐育人才等解释；借相见与受教之喜，不编造具体师生经历。</x:v>
      </x:c>
      <x:c r="I20" s="8" t="str">
        <x:v>2026-10-29依据用户补充的实际版本核读原文及相关题解／注释。原作转简体，标点作阅读整理；祝酒文字为独立整理。</x:v>
      </x:c>
      <x:c r="J20" s="8" t="str"/>
      <x:c r="K20" s="10" t="n">
        <x:v>2</x:v>
      </x:c>
      <x:c r="L20" s="8" t="str">
        <x:v>菁菁者莪，在彼中阿。
既见君子，乐且有仪。
菁菁者莪，在彼中沚。
既见君子，我心则喜。
菁菁者莪，在彼中陵。
既见君子，锡我百朋。
泛泛杨舟，载沉载浮。
既见君子，我心则休。</x:v>
      </x:c>
      <x:c r="M20" s="8" t="str">
        <x:v>原作全文</x:v>
      </x:c>
      <x:c r="N20" s="8" t="str"/>
    </x:row>
    <x:row r="21" ht="132" customHeight="1">
      <x:c r="A21" s="9" t="str">
        <x:v>r04-shi-758</x:v>
      </x:c>
      <x:c r="B21" s="9" t="str">
        <x:v>《诗经·鹤鸣》</x:v>
      </x:c>
      <x:c r="C21" s="9" t="str">
        <x:v>古诗</x:v>
      </x:c>
      <x:c r="D21" s="9" t="str">
        <x:v>王秀梅译注《诗经》（全二册）</x:v>
      </x:c>
      <x:c r="E21" s="9" t="str">
        <x:v>PDF 758—761</x:v>
      </x:c>
      <x:c r="F21" s="9" t="str">
        <x:v>他山之石，可以为错。</x:v>
      </x:c>
      <x:c r="G21" s="9" t="str">
        <x:v>他山之石，可以为错。</x:v>
      </x:c>
      <x:c r="H21" s="9" t="str">
        <x:v>错为磨石；借切磋与借鉴，不把对方比为缺陷或顽石。</x:v>
      </x:c>
      <x:c r="I21" s="9" t="str">
        <x:v>2026-10-29依据用户补充的实际版本核读原文及相关题解／注释。原作转简体，标点作阅读整理；祝酒文字为独立整理。</x:v>
      </x:c>
      <x:c r="J21" s="9" t="str"/>
      <x:c r="K21" s="11" t="n">
        <x:v>2</x:v>
      </x:c>
      <x:c r="L21" s="9" t="str">
        <x:v>鹤鸣于九皋，声闻于野。
鱼潜在渊，或在于渚。
乐彼之园，爰有树檀，其下维萚。
他山之石，可以为错。
鹤鸣于九皋，声闻于天。
鱼在于渚，或潜在渊。
乐彼之园，爰有树檀，其下维榖。
他山之石，可以攻玉。</x:v>
      </x:c>
      <x:c r="M21" s="9" t="str">
        <x:v>原作全文</x:v>
      </x:c>
      <x:c r="N21" s="9" t="str"/>
    </x:row>
    <x:row r="22" ht="192" customHeight="1">
      <x:c r="A22" s="8" t="str">
        <x:v>r04-shi-765</x:v>
      </x:c>
      <x:c r="B22" s="8" t="str">
        <x:v>《诗经·白驹》</x:v>
      </x:c>
      <x:c r="C22" s="8" t="str">
        <x:v>古诗</x:v>
      </x:c>
      <x:c r="D22" s="8" t="str">
        <x:v>王秀梅译注《诗经》（全二册）</x:v>
      </x:c>
      <x:c r="E22" s="8" t="str">
        <x:v>PDF 765—769</x:v>
      </x:c>
      <x:c r="F22" s="8" t="str">
        <x:v>毋金玉尔音，而有遐心。</x:v>
      </x:c>
      <x:c r="G22" s="8" t="str">
        <x:v>毋金玉尔音，而有遐心。</x:v>
      </x:c>
      <x:c r="H22" s="8" t="str">
        <x:v>留客惜别，盼勿吝音信；不解释为索要金玉礼物，不强留客人。</x:v>
      </x:c>
      <x:c r="I22" s="8" t="str">
        <x:v>2026-10-29依据用户补充的实际版本核读原文及相关题解／注释。原作转简体，标点作阅读整理；祝酒文字为独立整理。</x:v>
      </x:c>
      <x:c r="J22" s="8" t="str"/>
      <x:c r="K22" s="10" t="n">
        <x:v>2</x:v>
      </x:c>
      <x:c r="L22" s="8" t="str">
        <x:v>皎皎白驹，食我场苗。
絷之维之，以永今朝。
所谓伊人，于焉逍遥。
皎皎白驹，食我场藿。
絷之维之，以永今夕。
所谓伊人，于焉嘉客？
皎皎白驹，贲然来思。
尔公尔侯，逸豫无期。
慎尔优游，勉尔遁思。
皎皎白驹，在彼空谷。
生刍一束，其人如玉。
毋金玉尔音，而有遐心。</x:v>
      </x:c>
      <x:c r="M22" s="8" t="str">
        <x:v>原作全文</x:v>
      </x:c>
      <x:c r="N22" s="8" t="str"/>
    </x:row>
    <x:row r="23" ht="132" customHeight="1">
      <x:c r="A23" s="9" t="str">
        <x:v>r04-shi-987</x:v>
      </x:c>
      <x:c r="B23" s="9" t="str">
        <x:v>《诗经·桑扈》</x:v>
      </x:c>
      <x:c r="C23" s="9" t="str">
        <x:v>古诗</x:v>
      </x:c>
      <x:c r="D23" s="9" t="str">
        <x:v>王秀梅译注《诗经》（全二册）</x:v>
      </x:c>
      <x:c r="E23" s="9" t="str">
        <x:v>PDF 987—990</x:v>
      </x:c>
      <x:c r="F23" s="9" t="str">
        <x:v>彼交匪敖，万福来求。</x:v>
      </x:c>
      <x:c r="G23" s="9" t="str">
        <x:v>彼交匪敖，万福来求。</x:v>
      </x:c>
      <x:c r="H23" s="9" t="str">
        <x:v>天子宴诸侯兼有告诫；借不傲慢、相互尊重，不许诺饮酒得福。</x:v>
      </x:c>
      <x:c r="I23" s="9" t="str">
        <x:v>2026-10-29依据用户补充的实际版本核读原文及相关题解／注释。原作转简体，标点作阅读整理；祝酒文字为独立整理。</x:v>
      </x:c>
      <x:c r="J23" s="9" t="str"/>
      <x:c r="K23" s="11" t="n">
        <x:v>2</x:v>
      </x:c>
      <x:c r="L23" s="9" t="str">
        <x:v>交交桑扈，有莺其羽。
君子乐胥，受天之祜。
交交桑扈，有莺其领。
君子乐胥，万邦之屏。
之屏之翰，百辟为宪。
不戢不难，受福不那。
兕觥其觩，旨酒思柔。
彼交匪敖，万福来求。</x:v>
      </x:c>
      <x:c r="M23" s="9" t="str">
        <x:v>原作全文</x:v>
      </x:c>
      <x:c r="N23" s="9" t="str"/>
    </x:row>
    <x:row r="24" ht="132" customHeight="1">
      <x:c r="A24" s="8" t="str">
        <x:v>r04-shi-991</x:v>
      </x:c>
      <x:c r="B24" s="8" t="str">
        <x:v>《诗经·鸳鸯》</x:v>
      </x:c>
      <x:c r="C24" s="8" t="str">
        <x:v>古诗</x:v>
      </x:c>
      <x:c r="D24" s="8" t="str">
        <x:v>王秀梅译注《诗经》（全二册）</x:v>
      </x:c>
      <x:c r="E24" s="8" t="str">
        <x:v>PDF 991—994</x:v>
      </x:c>
      <x:c r="F24" s="8" t="str">
        <x:v>君子万年，福禄绥之。</x:v>
      </x:c>
      <x:c r="G24" s="8" t="str">
        <x:v>君子万年，福禄绥之。</x:v>
      </x:c>
      <x:c r="H24" s="8" t="str">
        <x:v>祝福之歌，存在婚礼及君臣酬答等解释；不默认所有对象为夫妻。</x:v>
      </x:c>
      <x:c r="I24" s="8" t="str">
        <x:v>2026-10-29依据用户补充的实际版本核读原文及相关题解／注释。原作转简体，标点作阅读整理；祝酒文字为独立整理。</x:v>
      </x:c>
      <x:c r="J24" s="8" t="str"/>
      <x:c r="K24" s="10" t="n">
        <x:v>2</x:v>
      </x:c>
      <x:c r="L24" s="8" t="str">
        <x:v>鸳鸯于飞，毕之罗之。
君子万年，福禄宜之。
鸳鸯在梁，戢其左翼。
君子万年，宜其遐福。
乘马在厩，摧之秣之。
君子万年，福禄艾之。
乘马在厩，秣之摧之。
君子万年，福禄绥之。</x:v>
      </x:c>
      <x:c r="M24" s="8" t="str">
        <x:v>原作全文</x:v>
      </x:c>
      <x:c r="N24" s="8" t="str"/>
    </x:row>
    <x:row r="25" ht="237" customHeight="1">
      <x:c r="A25" s="9" t="str">
        <x:v>r04-shi-1001</x:v>
      </x:c>
      <x:c r="B25" s="9" t="str">
        <x:v>《诗经·车舝》</x:v>
      </x:c>
      <x:c r="C25" s="9" t="str">
        <x:v>古诗</x:v>
      </x:c>
      <x:c r="D25" s="9" t="str">
        <x:v>王秀梅译注《诗经》（全二册）</x:v>
      </x:c>
      <x:c r="E25" s="9" t="str">
        <x:v>PDF 1001—1006</x:v>
      </x:c>
      <x:c r="F25" s="9" t="str">
        <x:v>鲜我觏尔，我心写兮。</x:v>
      </x:c>
      <x:c r="G25" s="9" t="str">
        <x:v>鲜我觏尔，我心写兮。</x:v>
      </x:c>
      <x:c r="H25" s="9" t="str">
        <x:v>原为迎娶与婚姻喜悦；借相见之喜时明确不作双方关系承诺。</x:v>
      </x:c>
      <x:c r="I25" s="9" t="str">
        <x:v>2026-10-29依据用户补充的实际版本核读原文及相关题解／注释。原作转简体，标点作阅读整理；祝酒文字为独立整理。</x:v>
      </x:c>
      <x:c r="J25" s="9" t="str"/>
      <x:c r="K25" s="11" t="n">
        <x:v>2</x:v>
      </x:c>
      <x:c r="L25" s="9" t="str">
        <x:v>间关车之舝兮，思娈季女逝兮。
匪饥匪渴，德音来括。
虽无好友，式燕且喜。
依彼平林，有集维鷮。
辰彼硕女，令德来教。
式燕且誉，好尔无射。
虽无旨酒，式饮庶几。
虽无嘉肴，式食庶几。
虽无德与女，式歌且舞。
陟彼高岗，析其柞薪。
析其柞薪，其叶湑兮。
鲜我觏尔，我心写兮。
高山仰止，景行行止。
四牡騑騑，六辔如琴。
觏尔新昏，以慰我心。</x:v>
      </x:c>
      <x:c r="M25" s="9" t="str">
        <x:v>原作全文</x:v>
      </x:c>
      <x:c r="N25" s="9" t="str"/>
    </x:row>
    <x:row r="26" ht="132" customHeight="1">
      <x:c r="A26" s="8" t="str">
        <x:v>r04-shi-1074</x:v>
      </x:c>
      <x:c r="B26" s="8" t="str">
        <x:v>《诗经·瓠叶》</x:v>
      </x:c>
      <x:c r="C26" s="8" t="str">
        <x:v>古诗</x:v>
      </x:c>
      <x:c r="D26" s="8" t="str">
        <x:v>王秀梅译注《诗经》（全二册）</x:v>
      </x:c>
      <x:c r="E26" s="8" t="str">
        <x:v>PDF 1074—1077</x:v>
      </x:c>
      <x:c r="F26" s="8" t="str">
        <x:v>幡幡瓠叶，采之亨之。</x:v>
      </x:c>
      <x:c r="G26" s="8" t="str">
        <x:v>幡幡瓠叶，采之亨之。</x:v>
      </x:c>
      <x:c r="H26" s="8" t="str">
        <x:v>宴饮诗，有俭薄不废礼与燕饮等解；亨通烹，借家常待客的诚意。</x:v>
      </x:c>
      <x:c r="I26" s="8" t="str">
        <x:v>2026-10-29依据用户补充的实际版本核读原文及相关题解／注释。原作转简体，标点作阅读整理；祝酒文字为独立整理。</x:v>
      </x:c>
      <x:c r="J26" s="8" t="str"/>
      <x:c r="K26" s="10" t="n">
        <x:v>2</x:v>
      </x:c>
      <x:c r="L26" s="8" t="str">
        <x:v>幡幡瓠叶，采之亨之。
君子有酒，酌言尝之。
有兔斯首，炮之燔之。
君子有酒，酌言献之。
有兔斯首，燔之炙之。
君子有酒，酌言酢之。
有兔斯首，燔之炮之。
君子有酒，酌言酬之。</x:v>
      </x:c>
      <x:c r="M26" s="8" t="str">
        <x:v>原作全文</x:v>
      </x:c>
      <x:c r="N26" s="8" t="str"/>
    </x:row>
    <x:row r="27" ht="72" customHeight="1">
      <x:c r="A27" s="9" t="str">
        <x:v>r04-shi-1185</x:v>
      </x:c>
      <x:c r="B27" s="9" t="str">
        <x:v>《诗经·行苇》</x:v>
      </x:c>
      <x:c r="C27" s="9" t="str">
        <x:v>古诗</x:v>
      </x:c>
      <x:c r="D27" s="9" t="str">
        <x:v>王秀梅译注《诗经》（全二册）</x:v>
      </x:c>
      <x:c r="E27" s="9" t="str">
        <x:v>PDF 1185—1191</x:v>
      </x:c>
      <x:c r="F27" s="9" t="str">
        <x:v>戚戚兄弟，莫远具尔。</x:v>
      </x:c>
      <x:c r="G27" s="9" t="str">
        <x:v>戚戚兄弟，莫远具尔。</x:v>
      </x:c>
      <x:c r="H27" s="9" t="str">
        <x:v>亲族宴会、敬老、较射与祈福；取亲近照应，不照搬祭礼和座次。</x:v>
      </x:c>
      <x:c r="I27" s="9" t="str">
        <x:v>2026-10-29依据用户补充的实际版本核读原文及相关题解／注释。原作转简体，标点作阅读整理；祝酒文字为独立整理。</x:v>
      </x:c>
      <x:c r="J27" s="9" t="str"/>
      <x:c r="K27" s="11" t="n">
        <x:v>2</x:v>
      </x:c>
      <x:c r="L27" s="9" t="str">
        <x:v>敦彼行苇，牛羊勿践履。方苞方体，维叶泥泥。戚戚兄弟，莫远具尔。或肆之筵，或授之几。
肆筵设席，授几有缉御。或献或酢，洗爵奠斝。醓醢以荐，或燔或炙。嘉殽脾臄，或歌或咢。
敦弓既坚，四鍭既钧；舍矢既均，序宾以贤。敦弓既句，既挟四鍭。四鍭如树，序宾以不侮。
曾孙维主，酒醴维醹。酌以大斗，以祈黄耇。黄耇台背，以引以翼。寿考维祺，以介景福。</x:v>
      </x:c>
      <x:c r="M27" s="9" t="str">
        <x:v>原作全文</x:v>
      </x:c>
      <x:c r="N27" s="9" t="str"/>
    </x:row>
    <x:row r="28" ht="327" customHeight="1">
      <x:c r="A28" s="8" t="str">
        <x:v>r04-shi-1192</x:v>
      </x:c>
      <x:c r="B28" s="8" t="str">
        <x:v>《诗经·既醉》</x:v>
      </x:c>
      <x:c r="C28" s="8" t="str">
        <x:v>古诗</x:v>
      </x:c>
      <x:c r="D28" s="8" t="str">
        <x:v>王秀梅译注《诗经》（全二册）</x:v>
      </x:c>
      <x:c r="E28" s="8" t="str">
        <x:v>PDF 1192—1198</x:v>
      </x:c>
      <x:c r="F28" s="8" t="str">
        <x:v>君子万年，介尔景福。</x:v>
      </x:c>
      <x:c r="G28" s="8" t="str">
        <x:v>君子万年，介尔景福。</x:v>
      </x:c>
      <x:c r="H28" s="8" t="str">
        <x:v>祭祀嘏辞，君子指周王；只借古老祝愿，不说饮酒能延寿获福。</x:v>
      </x:c>
      <x:c r="I28" s="8" t="str">
        <x:v>2026-10-29依据用户补充的实际版本核读原文及相关题解／注释。原作转简体，标点作阅读整理；祝酒文字为独立整理。</x:v>
      </x:c>
      <x:c r="J28" s="8" t="str"/>
      <x:c r="K28" s="10" t="n">
        <x:v>2</x:v>
      </x:c>
      <x:c r="L28" s="8" t="str">
        <x:v>既醉以酒，既饱以德。
君子万年，介尔景福。
既醉以酒，尔殽既将。
君子万年，介尔昭明。
昭明有融，高朗令终。
令终有俶。
公尸嘉告。
其告维何？
笾豆静嘉。
朋友攸摄，摄以威仪。
威仪孔时，君子有孝子。
孝子不匮，永锡尔类。
其类维何？
室家之壸。
君子万年，永锡祚胤。
其胤维何？
天被尔禄。
君子万年，景命有仆。
其仆维何？
厘尔女士。
厘尔女士，从以孙子。</x:v>
      </x:c>
      <x:c r="M28" s="8" t="str">
        <x:v>原作全文</x:v>
      </x:c>
      <x:c r="N28" s="8" t="str"/>
    </x:row>
    <x:row r="29" ht="342" customHeight="1">
      <x:c r="A29" s="9" t="str">
        <x:v>r04-shi-1223</x:v>
      </x:c>
      <x:c r="B29" s="9" t="str">
        <x:v>《诗经·卷阿》</x:v>
      </x:c>
      <x:c r="C29" s="9" t="str">
        <x:v>古诗</x:v>
      </x:c>
      <x:c r="D29" s="9" t="str">
        <x:v>王秀梅译注《诗经》（全二册）</x:v>
      </x:c>
      <x:c r="E29" s="9" t="str">
        <x:v>PDF 1223—1232</x:v>
      </x:c>
      <x:c r="F29" s="9" t="str">
        <x:v>来游来歌，以矢其音。</x:v>
      </x:c>
      <x:c r="G29" s="9" t="str">
        <x:v>来游来歌，以矢其音。</x:v>
      </x:c>
      <x:c r="H29" s="9" t="str">
        <x:v>原为颂美、求贤的诗；矢陈述，借相聚歌咏，不挪用君臣身份。</x:v>
      </x:c>
      <x:c r="I29" s="9" t="str">
        <x:v>2026-10-29依据用户补充的实际版本核读原文及相关题解／注释。原作转简体，标点作阅读整理；祝酒文字为独立整理。</x:v>
      </x:c>
      <x:c r="J29" s="9" t="str"/>
      <x:c r="K29" s="11" t="n">
        <x:v>2</x:v>
      </x:c>
      <x:c r="L29" s="9" t="str">
        <x:v>有卷者阿，飘风自南。
岂弟君子，来游来歌，以矢其音。
伴奂尔游矣，优游尔休矣。
岂弟君子，俾尔弥尔性，似先公遒矣。
尔土宇昄章，亦孔之厚矣。
岂弟君子，俾尔弥尔性，百神尔主矣。
尔受命长矣，茀禄尔康矣。
岂弟君子，俾尔弥尔性，纯嘏尔常矣。
有冯有翼，有孝有德，以引以翼。
岂弟君子，四方为则。
颙颙卬卬，如圭如璋，令闻令望。
岂弟君子，四方为纲。
凤皇于飞，翙翙其羽，亦集爰止。
蔼蔼王多吉士，维君子使，媚于天子。
凤皇于飞，翙翙其羽，亦傅于天。
蔼蔼王多吉人，维君子命，媚于庶人。
凤皇鸣矣，于彼高冈。
梧桐生矣，于彼朝阳。
菶菶萋萋，雍雍喈喈。
君子之车，既庶且多。
君子之马，既闲且驰。
矢诗不多，维以遂歌。</x:v>
      </x:c>
      <x:c r="M29" s="9" t="str">
        <x:v>原作全文</x:v>
      </x:c>
      <x:c r="N29" s="9" t="str"/>
    </x:row>
    <x:row r="30" ht="42" customHeight="1">
      <x:c r="A30" s="8" t="str">
        <x:v>r04-ci-01</x:v>
      </x:c>
      <x:c r="B30" s="8" t="str">
        <x:v>王观《卜算子·送鲍浩然之浙东》</x:v>
      </x:c>
      <x:c r="C30" s="8" t="str">
        <x:v>词</x:v>
      </x:c>
      <x:c r="D30" s="8" t="str">
        <x:v>俞平伯《唐宋词选释》</x:v>
      </x:c>
      <x:c r="E30" s="8" t="str">
        <x:v>PDF 83</x:v>
      </x:c>
      <x:c r="F30" s="8" t="str">
        <x:v>若到江南赶上春，千万和春住。</x:v>
      </x:c>
      <x:c r="G30" s="8" t="str">
        <x:v>若到江南赶上春，千万和春住。</x:v>
      </x:c>
      <x:c r="H30" s="8" t="str">
        <x:v>送别词把江南山水与惜春相连；祝前路有好景，不预设目的地就是江南。</x:v>
      </x:c>
      <x:c r="I30" s="8" t="str">
        <x:v>2026-10-29依据用户补充的实际版本核读原文及相关题解／注释。原作转简体，标点作阅读整理；祝酒文字为独立整理。</x:v>
      </x:c>
      <x:c r="J30" s="8" t="str"/>
      <x:c r="K30" s="10" t="n">
        <x:v>2</x:v>
      </x:c>
      <x:c r="L30" s="8" t="str">
        <x:v>水是眼波横，山是眉峰聚。欲问行人去那边，眉眼盈盈处。
才始送春归，又送君归去。若到江南赶上春，千万和春住。</x:v>
      </x:c>
      <x:c r="M30" s="8" t="str">
        <x:v>原作全文</x:v>
      </x:c>
      <x:c r="N30" s="8" t="str"/>
    </x:row>
    <x:row r="31" ht="42" customHeight="1">
      <x:c r="A31" s="9" t="str">
        <x:v>r04-ci-02</x:v>
      </x:c>
      <x:c r="B31" s="9" t="str">
        <x:v>张先《木兰花·乙卯吴兴寒食》</x:v>
      </x:c>
      <x:c r="C31" s="9" t="str">
        <x:v>词</x:v>
      </x:c>
      <x:c r="D31" s="9" t="str">
        <x:v>俞平伯《唐宋词选释》</x:v>
      </x:c>
      <x:c r="E31" s="9" t="str">
        <x:v>PDF 85—86</x:v>
      </x:c>
      <x:c r="F31" s="9" t="str">
        <x:v>中庭月色正清明，无数杨花过无影。</x:v>
      </x:c>
      <x:c r="G31" s="9" t="str">
        <x:v>中庭月色正清明，无数杨花过无影。</x:v>
      </x:c>
      <x:c r="H31" s="9" t="str">
        <x:v>寒食游春由繁华转入夜静；借诗意，不称现场有月或杨花。</x:v>
      </x:c>
      <x:c r="I31" s="9" t="str">
        <x:v>2026-10-29依据用户补充的实际版本核读原文及相关题解／注释。原作转简体，标点作阅读整理；祝酒文字为独立整理。</x:v>
      </x:c>
      <x:c r="J31" s="9" t="str"/>
      <x:c r="K31" s="11" t="n">
        <x:v>2</x:v>
      </x:c>
      <x:c r="L31" s="9" t="str">
        <x:v>龙头舴艋吴儿竞，笋柱秋千游女并。芳洲拾翠暮忘归，秀野踏青来不定。
行云去后遥山暝，已放笙歌池院静。中庭月色正清明，无数杨花过无影。</x:v>
      </x:c>
      <x:c r="M31" s="9" t="str">
        <x:v>原作全文</x:v>
      </x:c>
      <x:c r="N31" s="9" t="str"/>
    </x:row>
    <x:row r="32" ht="42" customHeight="1">
      <x:c r="A32" s="8" t="str">
        <x:v>r04-ci-03</x:v>
      </x:c>
      <x:c r="B32" s="8" t="str">
        <x:v>宋祁《玉楼春·东城渐觉风光好》</x:v>
      </x:c>
      <x:c r="C32" s="8" t="str">
        <x:v>词</x:v>
      </x:c>
      <x:c r="D32" s="8" t="str">
        <x:v>俞平伯《唐宋词选释》</x:v>
      </x:c>
      <x:c r="E32" s="8" t="str">
        <x:v>PDF 90—91</x:v>
      </x:c>
      <x:c r="F32" s="8" t="str">
        <x:v>为君持酒劝斜阳，且向花间留晚照。</x:v>
      </x:c>
      <x:c r="G32" s="8" t="str">
        <x:v>为君持酒劝斜阳，且向花间留晚照。</x:v>
      </x:c>
      <x:c r="H32" s="8" t="str">
        <x:v>春游惜景，劝留斜阳是想象；不让客人因挽留而勉强饮酒。</x:v>
      </x:c>
      <x:c r="I32" s="8" t="str">
        <x:v>2026-10-29依据用户补充的实际版本核读原文及相关题解／注释。原作转简体，标点作阅读整理；祝酒文字为独立整理。</x:v>
      </x:c>
      <x:c r="J32" s="8" t="str"/>
      <x:c r="K32" s="10" t="n">
        <x:v>2</x:v>
      </x:c>
      <x:c r="L32" s="8" t="str">
        <x:v>东城渐觉风光好，縠皱波纹迎客棹。绿杨烟外晓寒轻，红杏枝头春意闹。
浮生长恨欢娱少，肯爱千金轻一笑。为君持酒劝斜阳，且向花间留晚照。</x:v>
      </x:c>
      <x:c r="M32" s="8" t="str">
        <x:v>原作全文</x:v>
      </x:c>
      <x:c r="N32" s="8" t="str"/>
    </x:row>
    <x:row r="33" ht="42" customHeight="1">
      <x:c r="A33" s="9" t="str">
        <x:v>r04-ci-04</x:v>
      </x:c>
      <x:c r="B33" s="9" t="str">
        <x:v>晏几道《鹧鸪天·彩袖殷勤捧玉钟》</x:v>
      </x:c>
      <x:c r="C33" s="9" t="str">
        <x:v>词</x:v>
      </x:c>
      <x:c r="D33" s="9" t="str">
        <x:v>俞平伯《唐宋词选释》</x:v>
      </x:c>
      <x:c r="E33" s="9" t="str">
        <x:v>PDF 97—98</x:v>
      </x:c>
      <x:c r="F33" s="9" t="str">
        <x:v>今宵剩把银釭照，犹恐相逢是梦中。</x:v>
      </x:c>
      <x:c r="G33" s="9" t="str">
        <x:v>今宵剩把银釭照，犹恐相逢是梦中。</x:v>
      </x:c>
      <x:c r="H33" s="9" t="str">
        <x:v>追忆歌舞、久别重逢，喜中含悲；银釭为灯，此处借真实相见的珍惜。</x:v>
      </x:c>
      <x:c r="I33" s="9" t="str">
        <x:v>2026-10-29依据用户补充的实际版本核读原文及相关题解／注释。原作转简体，标点作阅读整理；祝酒文字为独立整理。</x:v>
      </x:c>
      <x:c r="J33" s="9" t="str"/>
      <x:c r="K33" s="11" t="n">
        <x:v>2</x:v>
      </x:c>
      <x:c r="L33" s="9" t="str">
        <x:v>彩袖殷勤捧玉钟，当年拼却醉颜红。舞低杨柳楼心月，歌尽桃花扇影风。
从别后，忆相逢，几回魂梦与君同。今宵剩把银釭照，犹恐相逢是梦中。</x:v>
      </x:c>
      <x:c r="M33" s="9" t="str">
        <x:v>原作全文</x:v>
      </x:c>
      <x:c r="N33" s="9" t="str"/>
    </x:row>
    <x:row r="34" ht="42" customHeight="1">
      <x:c r="A34" s="8" t="str">
        <x:v>r04-ci-05</x:v>
      </x:c>
      <x:c r="B34" s="8" t="str">
        <x:v>苏轼《昭君怨·金山送柳子玉》</x:v>
      </x:c>
      <x:c r="C34" s="8" t="str">
        <x:v>词</x:v>
      </x:c>
      <x:c r="D34" s="8" t="str">
        <x:v>俞平伯《唐宋词选释》</x:v>
      </x:c>
      <x:c r="E34" s="8" t="str">
        <x:v>PDF 99</x:v>
      </x:c>
      <x:c r="F34" s="8" t="str">
        <x:v>飞絮送行舟，水东流。</x:v>
      </x:c>
      <x:c r="G34" s="8" t="str">
        <x:v>飞絮送行舟，水东流。</x:v>
      </x:c>
      <x:c r="H34" s="8" t="str">
        <x:v>借笛声与飞絮写送别，桓伊三弄为用典；不声称今天有笛或行舟。</x:v>
      </x:c>
      <x:c r="I34" s="8" t="str">
        <x:v>2026-10-29依据用户补充的实际版本核读原文及相关题解／注释。原作转简体，标点作阅读整理；祝酒文字为独立整理。</x:v>
      </x:c>
      <x:c r="J34" s="8" t="str"/>
      <x:c r="K34" s="10" t="n">
        <x:v>2</x:v>
      </x:c>
      <x:c r="L34" s="8" t="str">
        <x:v>谁作桓伊三弄，惊破绿窗幽梦。新月与愁烟，满江天。
欲去又还不去，明日落花飞絮。飞絮送行舟，水东流。</x:v>
      </x:c>
      <x:c r="M34" s="8" t="str">
        <x:v>原作全文</x:v>
      </x:c>
      <x:c r="N34" s="8" t="str"/>
    </x:row>
    <x:row r="35" ht="42" customHeight="1">
      <x:c r="A35" s="9" t="str">
        <x:v>r04-ci-06</x:v>
      </x:c>
      <x:c r="B35" s="9" t="str">
        <x:v>苏轼《醉落魄·离京口作》</x:v>
      </x:c>
      <x:c r="C35" s="9" t="str">
        <x:v>词</x:v>
      </x:c>
      <x:c r="D35" s="9" t="str">
        <x:v>俞平伯《唐宋词选释》</x:v>
      </x:c>
      <x:c r="E35" s="9" t="str">
        <x:v>PDF 99</x:v>
      </x:c>
      <x:c r="F35" s="9" t="str">
        <x:v>轻云微月</x:v>
      </x:c>
      <x:c r="G35" s="9" t="str">
        <x:v>轻云微月</x:v>
      </x:c>
      <x:c r="H35" s="9" t="str">
        <x:v>行旅夜归与思家，不把漂泊愁绪改说成原词庆功。</x:v>
      </x:c>
      <x:c r="I35" s="9" t="str">
        <x:v>2026-10-29依据用户补充的实际版本核读原文及相关题解／注释。原作转简体，标点作阅读整理；祝酒文字为独立整理。</x:v>
      </x:c>
      <x:c r="J35" s="9" t="str"/>
      <x:c r="K35" s="11" t="n">
        <x:v>2</x:v>
      </x:c>
      <x:c r="L35" s="9" t="str">
        <x:v>轻云微月，二更酒醒船初发。孤城回望苍烟合。记得歌时，不记归时节。
巾偏扇坠藤床滑，觉来幽梦无人说。此生飘荡何时歇。家在西南，常作东南别。</x:v>
      </x:c>
      <x:c r="M35" s="9" t="str">
        <x:v>原作全文</x:v>
      </x:c>
      <x:c r="N35" s="9" t="str"/>
    </x:row>
    <x:row r="36" ht="42" customHeight="1">
      <x:c r="A36" s="8" t="str">
        <x:v>r04-ci-07</x:v>
      </x:c>
      <x:c r="B36" s="8" t="str">
        <x:v>苏轼《南乡子·送述古》</x:v>
      </x:c>
      <x:c r="C36" s="8" t="str">
        <x:v>词</x:v>
      </x:c>
      <x:c r="D36" s="8" t="str">
        <x:v>俞平伯《唐宋词选释》</x:v>
      </x:c>
      <x:c r="E36" s="8" t="str">
        <x:v>PDF 99—100</x:v>
      </x:c>
      <x:c r="F36" s="8" t="str">
        <x:v>归路晚风清</x:v>
      </x:c>
      <x:c r="G36" s="8" t="str">
        <x:v>归路晚风清</x:v>
      </x:c>
      <x:c r="H36" s="8" t="str">
        <x:v>送陈襄离杭，后片含愁；借归路珍重，不预报今晚天气。</x:v>
      </x:c>
      <x:c r="I36" s="8" t="str">
        <x:v>2026-10-29依据用户补充的实际版本核读原文及相关题解／注释。原作转简体，标点作阅读整理；祝酒文字为独立整理。</x:v>
      </x:c>
      <x:c r="J36" s="8" t="str"/>
      <x:c r="K36" s="10" t="n">
        <x:v>2</x:v>
      </x:c>
      <x:c r="L36" s="8" t="str">
        <x:v>回首乱山横，不见居人只见城。谁似临平山上塔，亭亭，迎客西来送客行。
归路晚风清，一枕初寒梦不成。今夜残灯斜照处，荧荧，秋雨晴时泪不晴。</x:v>
      </x:c>
      <x:c r="M36" s="8" t="str">
        <x:v>原作全文</x:v>
      </x:c>
      <x:c r="N36" s="8" t="str"/>
    </x:row>
    <x:row r="37" ht="42" customHeight="1">
      <x:c r="A37" s="9" t="str">
        <x:v>r04-ci-08</x:v>
      </x:c>
      <x:c r="B37" s="9" t="str">
        <x:v>苏轼《蝶恋花·密州上元》</x:v>
      </x:c>
      <x:c r="C37" s="9" t="str">
        <x:v>词</x:v>
      </x:c>
      <x:c r="D37" s="9" t="str">
        <x:v>俞平伯《唐宋词选释》</x:v>
      </x:c>
      <x:c r="E37" s="9" t="str">
        <x:v>PDF 100—101</x:v>
      </x:c>
      <x:c r="F37" s="9" t="str">
        <x:v>明月如霜，照见人如画。</x:v>
      </x:c>
      <x:c r="G37" s="9" t="str">
        <x:v>明月如霜，照见人如画。</x:v>
      </x:c>
      <x:c r="H37" s="9" t="str">
        <x:v>比较钱塘与密州元宵，明丽中有寂寞；借相聚，不称现场月如霜。</x:v>
      </x:c>
      <x:c r="I37" s="9" t="str">
        <x:v>2026-10-29依据用户补充的实际版本核读原文及相关题解／注释。原作转简体，标点作阅读整理；祝酒文字为独立整理。</x:v>
      </x:c>
      <x:c r="J37" s="9" t="str"/>
      <x:c r="K37" s="11" t="n">
        <x:v>2</x:v>
      </x:c>
      <x:c r="L37" s="9" t="str">
        <x:v>灯火钱塘三五夜，明月如霜，照见人如画。帐底吹笙香吐麝，更无一点尘随马。
寂寞山城人老也，击鼓吹箫，却入农桑社。火冷灯稀霜露下，昏昏雪意云垂野。</x:v>
      </x:c>
      <x:c r="M37" s="9" t="str">
        <x:v>原作全文</x:v>
      </x:c>
      <x:c r="N37" s="9" t="str"/>
    </x:row>
    <x:row r="38" ht="42" customHeight="1">
      <x:c r="A38" s="8" t="str">
        <x:v>r04-ci-09</x:v>
      </x:c>
      <x:c r="B38" s="8" t="str">
        <x:v>苏轼《浣溪沙·簌簌衣巾落枣花》</x:v>
      </x:c>
      <x:c r="C38" s="8" t="str">
        <x:v>词</x:v>
      </x:c>
      <x:c r="D38" s="8" t="str">
        <x:v>俞平伯《唐宋词选释》</x:v>
      </x:c>
      <x:c r="E38" s="8" t="str">
        <x:v>PDF 105</x:v>
      </x:c>
      <x:c r="F38" s="8" t="str">
        <x:v>日高人渴漫思茶，敲门试问野人家。</x:v>
      </x:c>
      <x:c r="G38" s="8" t="str">
        <x:v>日高人渴漫思茶，敲门试问野人家。</x:v>
      </x:c>
      <x:c r="H38" s="8" t="str">
        <x:v>乡间行路渴而求茶；不编造主人曾收留用户，茶与酒均可。</x:v>
      </x:c>
      <x:c r="I38" s="8" t="str">
        <x:v>2026-10-29依据用户补充的实际版本核读原文及相关题解／注释。原作转简体，标点作阅读整理；祝酒文字为独立整理。</x:v>
      </x:c>
      <x:c r="J38" s="8" t="str"/>
      <x:c r="K38" s="10" t="n">
        <x:v>2</x:v>
      </x:c>
      <x:c r="L38" s="8" t="str">
        <x:v>簌簌衣巾落枣花，村南村北响缲车，牛衣古柳卖黄瓜。
酒困路长惟欲睡，日高人渴漫思茶，敲门试问野人家。</x:v>
      </x:c>
      <x:c r="M38" s="8" t="str">
        <x:v>原作全文</x:v>
      </x:c>
      <x:c r="N38" s="8" t="str"/>
    </x:row>
    <x:row r="39" ht="42" customHeight="1">
      <x:c r="A39" s="9" t="str">
        <x:v>r04-ci-10</x:v>
      </x:c>
      <x:c r="B39" s="9" t="str">
        <x:v>苏轼《浣溪沙·软草平莎过雨新》</x:v>
      </x:c>
      <x:c r="C39" s="9" t="str">
        <x:v>词</x:v>
      </x:c>
      <x:c r="D39" s="9" t="str">
        <x:v>俞平伯《唐宋词选释》</x:v>
      </x:c>
      <x:c r="E39" s="9" t="str">
        <x:v>PDF 105</x:v>
      </x:c>
      <x:c r="F39" s="9" t="str">
        <x:v>日暖桑麻光似泼，风来蒿艾气如薰。</x:v>
      </x:c>
      <x:c r="G39" s="9" t="str">
        <x:v>日暖桑麻光似泼，风来蒿艾气如薰。</x:v>
      </x:c>
      <x:c r="H39" s="9" t="str">
        <x:v>乡村田园与归耕之念；借日常生机，不称所在地点为田庄。</x:v>
      </x:c>
      <x:c r="I39" s="9" t="str">
        <x:v>2026-10-29依据用户补充的实际版本核读原文及相关题解／注释。原作转简体，标点作阅读整理；祝酒文字为独立整理。</x:v>
      </x:c>
      <x:c r="J39" s="9" t="str"/>
      <x:c r="K39" s="11" t="n">
        <x:v>2</x:v>
      </x:c>
      <x:c r="L39" s="9" t="str">
        <x:v>软草平莎过雨新，轻沙走马路无尘，何时收拾耦耕身。
日暖桑麻光似泼，风来蒿艾气如薰，使君元是此中人。</x:v>
      </x:c>
      <x:c r="M39" s="9" t="str">
        <x:v>原作全文</x:v>
      </x:c>
      <x:c r="N39" s="9" t="str"/>
    </x:row>
    <x:row r="40" ht="57" customHeight="1">
      <x:c r="A40" s="8" t="str">
        <x:v>r04-ci-11</x:v>
      </x:c>
      <x:c r="B40" s="8" t="str">
        <x:v>苏轼《浣溪沙·游蕲水清泉寺》</x:v>
      </x:c>
      <x:c r="C40" s="8" t="str">
        <x:v>词</x:v>
      </x:c>
      <x:c r="D40" s="8" t="str">
        <x:v>俞平伯《唐宋词选释》</x:v>
      </x:c>
      <x:c r="E40" s="8" t="str">
        <x:v>PDF 106</x:v>
      </x:c>
      <x:c r="F40" s="8" t="str">
        <x:v>谁道人生无再少</x:v>
      </x:c>
      <x:c r="G40" s="8" t="str">
        <x:v>谁道人生无再少</x:v>
      </x:c>
      <x:c r="H40" s="8" t="str">
        <x:v>见溪水西流而振作，非返老还童；不以年龄取笑长辈。</x:v>
      </x:c>
      <x:c r="I40" s="8" t="str">
        <x:v>2026-10-29依据用户补充的实际版本核读原文及相关题解／注释。原作转简体，标点作阅读整理；祝酒文字为独立整理。</x:v>
      </x:c>
      <x:c r="J40" s="8" t="str"/>
      <x:c r="K40" s="10" t="n">
        <x:v>2</x:v>
      </x:c>
      <x:c r="L40" s="8" t="str">
        <x:v>游蕲水清泉寺，寺临兰溪，溪水西流。
山下兰芽短浸溪，松间沙路净无泥，萧萧暮雨子规啼。
谁道人生无再少，门前流水尚能西，休将白发唱黄鸡。</x:v>
      </x:c>
      <x:c r="M40" s="8" t="str">
        <x:v>原作全文</x:v>
      </x:c>
      <x:c r="N40" s="8" t="str"/>
    </x:row>
    <x:row r="41" ht="42" customHeight="1">
      <x:c r="A41" s="9" t="str">
        <x:v>r04-ci-12</x:v>
      </x:c>
      <x:c r="B41" s="9" t="str">
        <x:v>苏轼《临江仙·夜归临皋》</x:v>
      </x:c>
      <x:c r="C41" s="9" t="str">
        <x:v>词</x:v>
      </x:c>
      <x:c r="D41" s="9" t="str">
        <x:v>俞平伯《唐宋词选释》</x:v>
      </x:c>
      <x:c r="E41" s="9" t="str">
        <x:v>PDF 108—109</x:v>
      </x:c>
      <x:c r="F41" s="9" t="str">
        <x:v>敲门都不应，倚杖听江声。</x:v>
      </x:c>
      <x:c r="G41" s="9" t="str">
        <x:v>敲门都不应，倚杖听江声。</x:v>
      </x:c>
      <x:c r="H41" s="9" t="str">
        <x:v>夜归与超脱之想；书注指出小舟远去非实际出逃，不鼓励失约夜归或醉酒。</x:v>
      </x:c>
      <x:c r="I41" s="9" t="str">
        <x:v>2026-10-29依据用户补充的实际版本核读原文及相关题解／注释。原作转简体，标点作阅读整理；祝酒文字为独立整理。</x:v>
      </x:c>
      <x:c r="J41" s="9" t="str"/>
      <x:c r="K41" s="11" t="n">
        <x:v>2</x:v>
      </x:c>
      <x:c r="L41" s="9" t="str">
        <x:v>夜饮东坡醒复醉，归来仿佛三更。家童鼻息已雷鸣，敲门都不应，倚杖听江声。
长恨此身非我有，何时忘却营营。夜阑风静縠纹平，小舟从此逝，江海寄余生。</x:v>
      </x:c>
      <x:c r="M41" s="9" t="str">
        <x:v>原作全文</x:v>
      </x:c>
      <x:c r="N41" s="9" t="str"/>
    </x:row>
    <x:row r="42" ht="42" customHeight="1">
      <x:c r="A42" s="8" t="str">
        <x:v>r04-ci-13</x:v>
      </x:c>
      <x:c r="B42" s="8" t="str">
        <x:v>苏轼《卜算子·黄州定慧院寓居作》</x:v>
      </x:c>
      <x:c r="C42" s="8" t="str">
        <x:v>词</x:v>
      </x:c>
      <x:c r="D42" s="8" t="str">
        <x:v>俞平伯《唐宋词选释》</x:v>
      </x:c>
      <x:c r="E42" s="8" t="str">
        <x:v>PDF 109</x:v>
      </x:c>
      <x:c r="F42" s="8" t="str">
        <x:v>谁见幽人独往来，缥缈孤鸿影。</x:v>
      </x:c>
      <x:c r="G42" s="8" t="str">
        <x:v>谁见幽人独往来，缥缈孤鸿影。</x:v>
      </x:c>
      <x:c r="H42" s="8" t="str">
        <x:v>孤鸿寄托孤独自守；不把原作说成欢乐宴饮，只引出愿人被理解的编辑祝愿。</x:v>
      </x:c>
      <x:c r="I42" s="8" t="str">
        <x:v>2026-10-29依据用户补充的实际版本核读原文及相关题解／注释。原作转简体，标点作阅读整理；祝酒文字为独立整理。</x:v>
      </x:c>
      <x:c r="J42" s="8" t="str"/>
      <x:c r="K42" s="10" t="n">
        <x:v>2</x:v>
      </x:c>
      <x:c r="L42" s="8" t="str">
        <x:v>缺月挂疏桐，漏断人初静。谁见幽人独往来，缥缈孤鸿影。
惊起却回头，有恨无人省。拣尽寒枝不肯栖，寂寞沙洲冷。</x:v>
      </x:c>
      <x:c r="M42" s="8" t="str">
        <x:v>原作全文</x:v>
      </x:c>
      <x:c r="N42" s="8" t="str"/>
    </x:row>
    <x:row r="43" ht="42" customHeight="1">
      <x:c r="A43" s="9" t="str">
        <x:v>r04-ci-14</x:v>
      </x:c>
      <x:c r="B43" s="9" t="str">
        <x:v>秦观《鹊桥仙·纤云弄巧》</x:v>
      </x:c>
      <x:c r="C43" s="9" t="str">
        <x:v>词</x:v>
      </x:c>
      <x:c r="D43" s="9" t="str">
        <x:v>俞平伯《唐宋词选释》</x:v>
      </x:c>
      <x:c r="E43" s="9" t="str">
        <x:v>PDF 116</x:v>
      </x:c>
      <x:c r="F43" s="9" t="str">
        <x:v>金风玉露一相逢，便胜却人间无数。</x:v>
      </x:c>
      <x:c r="G43" s="9" t="str">
        <x:v>金风玉露一相逢，便胜却人间无数。</x:v>
      </x:c>
      <x:c r="H43" s="9" t="str">
        <x:v>七夕牛女相会的爱情词；初识不许诺久长，不把传说当史实。</x:v>
      </x:c>
      <x:c r="I43" s="9" t="str">
        <x:v>2026-10-29依据用户补充的实际版本核读原文及相关题解／注释。原作转简体，标点作阅读整理；祝酒文字为独立整理。</x:v>
      </x:c>
      <x:c r="J43" s="9" t="str"/>
      <x:c r="K43" s="11" t="n">
        <x:v>2</x:v>
      </x:c>
      <x:c r="L43" s="9" t="str">
        <x:v>纤云弄巧，飞星传恨，银汉迢迢暗度。金风玉露一相逢，便胜却人间无数。
柔情似水，佳期如梦，忍顾鹊桥归路。两情若是久长时，又岂在朝朝暮暮。</x:v>
      </x:c>
      <x:c r="M43" s="9" t="str">
        <x:v>原作全文</x:v>
      </x:c>
      <x:c r="N43" s="9" t="str"/>
    </x:row>
    <x:row r="44" ht="42" customHeight="1">
      <x:c r="A44" s="8" t="str">
        <x:v>r04-ci-15</x:v>
      </x:c>
      <x:c r="B44" s="8" t="str">
        <x:v>秦观《蝶恋花·晓日窥轩双燕语》</x:v>
      </x:c>
      <x:c r="C44" s="8" t="str">
        <x:v>词</x:v>
      </x:c>
      <x:c r="D44" s="8" t="str">
        <x:v>俞平伯《唐宋词选释》</x:v>
      </x:c>
      <x:c r="E44" s="8" t="str">
        <x:v>PDF 116—117</x:v>
      </x:c>
      <x:c r="F44" s="8" t="str">
        <x:v>持酒劝云云且住</x:v>
      </x:c>
      <x:c r="G44" s="8" t="str">
        <x:v>持酒劝云云且住</x:v>
      </x:c>
      <x:c r="H44" s="8" t="str">
        <x:v>拟人留云以惜春，非实际天气；不把惜春写成必定成功的承诺。</x:v>
      </x:c>
      <x:c r="I44" s="8" t="str">
        <x:v>2026-10-29依据用户补充的实际版本核读原文及相关题解／注释。原作转简体，标点作阅读整理；祝酒文字为独立整理。</x:v>
      </x:c>
      <x:c r="J44" s="8" t="str"/>
      <x:c r="K44" s="10" t="n">
        <x:v>2</x:v>
      </x:c>
      <x:c r="L44" s="8" t="str">
        <x:v>晓日窥轩双燕语，似与佳人，共惜春将暮。屈指艳阳都几许，可无时霎闲风雨。
流水落花无问处，只有飞云，冉冉来还去。持酒劝云云且住，凭君碍断春归路。</x:v>
      </x:c>
      <x:c r="M44" s="8" t="str">
        <x:v>原作全文</x:v>
      </x:c>
      <x:c r="N44" s="8" t="str"/>
    </x:row>
    <x:row r="45" ht="42" customHeight="1">
      <x:c r="A45" s="9" t="str">
        <x:v>r04-ci-16</x:v>
      </x:c>
      <x:c r="B45" s="9" t="str">
        <x:v>周邦彦《苏幕遮·燎沉香》</x:v>
      </x:c>
      <x:c r="C45" s="9" t="str">
        <x:v>词</x:v>
      </x:c>
      <x:c r="D45" s="9" t="str">
        <x:v>俞平伯《唐宋词选释》</x:v>
      </x:c>
      <x:c r="E45" s="9" t="str">
        <x:v>PDF 122</x:v>
      </x:c>
      <x:c r="F45" s="9" t="str">
        <x:v>水面清圆，一一风荷举。</x:v>
      </x:c>
      <x:c r="G45" s="9" t="str">
        <x:v>水面清圆，一一风荷举。</x:v>
      </x:c>
      <x:c r="H45" s="9" t="str">
        <x:v>夏荷与思乡，故乡友伴之念；借意象不造今天有荷塘。</x:v>
      </x:c>
      <x:c r="I45" s="9" t="str">
        <x:v>2026-10-29依据用户补充的实际版本核读原文及相关题解／注释。原作转简体，标点作阅读整理；祝酒文字为独立整理。</x:v>
      </x:c>
      <x:c r="J45" s="9" t="str"/>
      <x:c r="K45" s="11" t="n">
        <x:v>2</x:v>
      </x:c>
      <x:c r="L45" s="9" t="str">
        <x:v>燎沉香，消溽暑。鸟雀呼晴，侵晓窥檐语。叶上初阳干宿雨，水面清圆，一一风荷举。
故乡遥，何日去，家住吴门，久作长安旅。五月渔郎相忆否？小楫轻舟，梦入芙蓉浦。</x:v>
      </x:c>
      <x:c r="M45" s="9" t="str">
        <x:v>原作全文</x:v>
      </x:c>
      <x:c r="N45" s="9" t="str"/>
    </x:row>
    <x:row r="46" ht="42" customHeight="1">
      <x:c r="A46" s="8" t="str">
        <x:v>r04-ci-17</x:v>
      </x:c>
      <x:c r="B46" s="8" t="str">
        <x:v>辛弃疾《清平乐·村居》</x:v>
      </x:c>
      <x:c r="C46" s="8" t="str">
        <x:v>词</x:v>
      </x:c>
      <x:c r="D46" s="8" t="str">
        <x:v>俞平伯《唐宋词选释》</x:v>
      </x:c>
      <x:c r="E46" s="8" t="str">
        <x:v>PDF 164—165</x:v>
      </x:c>
      <x:c r="F46" s="8" t="str">
        <x:v>醉里吴音相媚好，白发谁家翁媪。</x:v>
      </x:c>
      <x:c r="G46" s="8" t="str">
        <x:v>醉里吴音相媚好，白发谁家翁媪。</x:v>
      </x:c>
      <x:c r="H46" s="8" t="str">
        <x:v>描绘乡村家庭，翁媪指老人，无赖作顽皮解；不默认用户子女人数。</x:v>
      </x:c>
      <x:c r="I46" s="8" t="str">
        <x:v>2026-10-29依据用户补充的实际版本核读原文及相关题解／注释。原作转简体，标点作阅读整理；祝酒文字为独立整理。</x:v>
      </x:c>
      <x:c r="J46" s="8" t="str"/>
      <x:c r="K46" s="10" t="n">
        <x:v>2</x:v>
      </x:c>
      <x:c r="L46" s="8" t="str">
        <x:v>茅檐低小，溪上青青草。醉里吴音相媚好，白发谁家翁媪。
大儿锄豆溪东，中儿正织鸡笼。最喜小儿无赖，溪头看剥莲蓬。</x:v>
      </x:c>
      <x:c r="M46" s="8" t="str">
        <x:v>原作全文</x:v>
      </x:c>
      <x:c r="N46" s="8" t="str"/>
    </x:row>
    <x:row r="47" ht="42" customHeight="1">
      <x:c r="A47" s="9" t="str">
        <x:v>r04-ci-18</x:v>
      </x:c>
      <x:c r="B47" s="9" t="str">
        <x:v>辛弃疾《西江月·夜行黄沙道中》</x:v>
      </x:c>
      <x:c r="C47" s="9" t="str">
        <x:v>词</x:v>
      </x:c>
      <x:c r="D47" s="9" t="str">
        <x:v>俞平伯《唐宋词选释》</x:v>
      </x:c>
      <x:c r="E47" s="9" t="str">
        <x:v>PDF 166—167</x:v>
      </x:c>
      <x:c r="F47" s="9" t="str">
        <x:v>七八个星天外，两三点雨山前。</x:v>
      </x:c>
      <x:c r="G47" s="9" t="str">
        <x:v>七八个星天外，两三点雨山前。</x:v>
      </x:c>
      <x:c r="H47" s="9" t="str">
        <x:v>夜行乡间，路转忽见熟悉茅店；取寻常惊喜，不预报现场星雨或实际丰收。</x:v>
      </x:c>
      <x:c r="I47" s="9" t="str">
        <x:v>2026-10-29依据用户补充的实际版本核读原文及相关题解／注释。原作转简体，标点作阅读整理；祝酒文字为独立整理。</x:v>
      </x:c>
      <x:c r="J47" s="9" t="str"/>
      <x:c r="K47" s="11" t="n">
        <x:v>2</x:v>
      </x:c>
      <x:c r="L47" s="9" t="str">
        <x:v>明月别枝惊鹊，清风半夜鸣蝉。稻花香里说丰年，听取蛙声一片。
七八个星天外，两三点雨山前。旧时茅店社林边，路转溪桥忽见。</x:v>
      </x:c>
      <x:c r="M47" s="9" t="str">
        <x:v>原作全文</x:v>
      </x:c>
      <x:c r="N47" s="9" t="str"/>
    </x:row>
    <x:row r="48" ht="42" customHeight="1">
      <x:c r="A48" s="8" t="str">
        <x:v>r04-ci-19</x:v>
      </x:c>
      <x:c r="B48" s="8" t="str">
        <x:v>辛弃疾《西江月·遣兴》</x:v>
      </x:c>
      <x:c r="C48" s="8" t="str">
        <x:v>词</x:v>
      </x:c>
      <x:c r="D48" s="8" t="str">
        <x:v>俞平伯《唐宋词选释》</x:v>
      </x:c>
      <x:c r="E48" s="8" t="str">
        <x:v>PDF 167</x:v>
      </x:c>
      <x:c r="F48" s="8" t="str">
        <x:v>醉里且贪欢笑，要愁那得工夫。</x:v>
      </x:c>
      <x:c r="G48" s="8" t="str">
        <x:v>醉里且贪欢笑，要愁那得工夫。</x:v>
      </x:c>
      <x:c r="H48" s="8" t="str">
        <x:v>醉态拟人含自嘲；不宣扬饮醉、读书无用，也不把原作看作单纯劝乐。</x:v>
      </x:c>
      <x:c r="I48" s="8" t="str">
        <x:v>2026-10-29依据用户补充的实际版本核读原文及相关题解／注释。原作转简体，标点作阅读整理；祝酒文字为独立整理。</x:v>
      </x:c>
      <x:c r="J48" s="8" t="str"/>
      <x:c r="K48" s="10" t="n">
        <x:v>2</x:v>
      </x:c>
      <x:c r="L48" s="8" t="str">
        <x:v>醉里且贪欢笑，要愁那得工夫。近来始觉古人书，信著全无是处。
昨夜松边醉倒，问松我醉何如？只疑松动要来扶，以手推松曰“去”。</x:v>
      </x:c>
      <x:c r="M48" s="8" t="str">
        <x:v>原作全文</x:v>
      </x:c>
      <x:c r="N48" s="8" t="str"/>
    </x:row>
    <x:row r="49" ht="42" customHeight="1">
      <x:c r="A49" s="9" t="str">
        <x:v>r04-ci-20</x:v>
      </x:c>
      <x:c r="B49" s="9" t="str">
        <x:v>辛弃疾《鹧鸪天·陌上柔桑破嫩芽》</x:v>
      </x:c>
      <x:c r="C49" s="9" t="str">
        <x:v>词</x:v>
      </x:c>
      <x:c r="D49" s="9" t="str">
        <x:v>俞平伯《唐宋词选释》</x:v>
      </x:c>
      <x:c r="E49" s="9" t="str">
        <x:v>PDF 168</x:v>
      </x:c>
      <x:c r="F49" s="9" t="str">
        <x:v>春在溪头荠菜花。</x:v>
      </x:c>
      <x:c r="G49" s="9" t="str">
        <x:v>春在溪头荠菜花。</x:v>
      </x:c>
      <x:c r="H49" s="9" t="str">
        <x:v>田园春景，荠菜花对比城中桃李；借平常的生机，不称眼下已春天。</x:v>
      </x:c>
      <x:c r="I49" s="9" t="str">
        <x:v>2026-10-29依据用户补充的实际版本核读原文及相关题解／注释。原作转简体，标点作阅读整理；祝酒文字为独立整理。</x:v>
      </x:c>
      <x:c r="J49" s="9" t="str"/>
      <x:c r="K49" s="11" t="n">
        <x:v>2</x:v>
      </x:c>
      <x:c r="L49" s="9" t="str">
        <x:v>陌上柔桑破嫩芽，东邻蚕种已生些。平冈细草鸣黄犊，斜日寒林点暮鸦。
山远近，路横斜，青旗沽酒有人家。城中桃李愁风雨，春在溪头荠菜花。</x:v>
      </x:c>
      <x:c r="M49" s="9" t="str">
        <x:v>原作全文</x:v>
      </x:c>
      <x:c r="N49" s="9" t="str"/>
    </x:row>
    <x:row r="50" ht="42" customHeight="1">
      <x:c r="A50" s="8" t="str">
        <x:v>r04-ci-21</x:v>
      </x:c>
      <x:c r="B50" s="8" t="str">
        <x:v>辛弃疾《鹧鸪天·鹅湖归病起作》</x:v>
      </x:c>
      <x:c r="C50" s="8" t="str">
        <x:v>词</x:v>
      </x:c>
      <x:c r="D50" s="8" t="str">
        <x:v>俞平伯《唐宋词选释》</x:v>
      </x:c>
      <x:c r="E50" s="8" t="str">
        <x:v>PDF 168—169</x:v>
      </x:c>
      <x:c r="F50" s="8" t="str">
        <x:v>一丘一壑也风流。</x:v>
      </x:c>
      <x:c r="G50" s="8" t="str">
        <x:v>一丘一壑也风流。</x:v>
      </x:c>
      <x:c r="H50" s="8" t="str">
        <x:v>病起闲居仍有身世之感；借闲处自得，不暗示用户生病或衰老。</x:v>
      </x:c>
      <x:c r="I50" s="8" t="str">
        <x:v>2026-10-29依据用户补充的实际版本核读原文及相关题解／注释。原作转简体，标点作阅读整理；祝酒文字为独立整理。</x:v>
      </x:c>
      <x:c r="J50" s="8" t="str"/>
      <x:c r="K50" s="10" t="n">
        <x:v>2</x:v>
      </x:c>
      <x:c r="L50" s="8" t="str">
        <x:v>枕簟溪堂冷欲秋，断云依水晚来收。红莲相倚浑如醉，白鸟无言定自愁。
书咄咄，且休休。一丘一壑也风流。不知筋力衰多少，但觉新来懒上楼。</x:v>
      </x:c>
      <x:c r="M50" s="8" t="str">
        <x:v>原作全文</x:v>
      </x:c>
      <x:c r="N50" s="8" t="str"/>
    </x:row>
    <x:row r="51" ht="102" customHeight="1">
      <x:c r="A51" s="9" t="str">
        <x:v>r04-ci-22</x:v>
      </x:c>
      <x:c r="B51" s="9" t="str">
        <x:v>辛弃疾《贺新郎·甚矣吾衰矣》</x:v>
      </x:c>
      <x:c r="C51" s="9" t="str">
        <x:v>词</x:v>
      </x:c>
      <x:c r="D51" s="9" t="str">
        <x:v>俞平伯《唐宋词选释》</x:v>
      </x:c>
      <x:c r="E51" s="9" t="str">
        <x:v>PDF 175—176</x:v>
      </x:c>
      <x:c r="F51" s="9" t="str">
        <x:v>知我者，二三子。</x:v>
      </x:c>
      <x:c r="G51" s="9" t="str">
        <x:v>知我者，二三子。</x:v>
      </x:c>
      <x:c r="H51" s="9" t="str">
        <x:v>思亲友与自许相杂；二三子指朋友，不译成只有两三位，不预设交游零落。</x:v>
      </x:c>
      <x:c r="I51" s="9" t="str">
        <x:v>2026-10-29依据用户补充的实际版本核读原文及相关题解／注释。原作转简体，标点作阅读整理；祝酒文字为独立整理。</x:v>
      </x:c>
      <x:c r="J51" s="9" t="str"/>
      <x:c r="K51" s="11" t="n">
        <x:v>2</x:v>
      </x:c>
      <x:c r="L51" s="9" t="str">
        <x:v>邑中园亭，仆皆为赋此词。一日独坐停云，水声山色，竞来相娱，意溪山欲援例者，遂作数语，庶几仿佛渊明思亲友之意云。
甚矣吾衰矣。怅平生交游零落，只今余几。白发空垂三千丈，一笑人间万事。问何物能令公喜？我见青山多妩媚，料青山见我应如是。情与貌，略相似。
一尊搔首东窗里，想渊明停云诗就，此时风味。江左沉酣求名者，岂识浊醪妙理。回首叫云飞风起。不恨古人吾不见，恨古人不见吾狂耳。知我者，二三子。</x:v>
      </x:c>
      <x:c r="M51" s="9" t="str">
        <x:v>原作全文</x:v>
      </x:c>
      <x:c r="N51" s="9" t="str"/>
    </x:row>
    <x:row r="52" ht="42" customHeight="1">
      <x:c r="A52" s="8" t="str">
        <x:v>r04-ci-23</x:v>
      </x:c>
      <x:c r="B52" s="8" t="str">
        <x:v>冯延巳《长命女·春日宴》</x:v>
      </x:c>
      <x:c r="C52" s="8" t="str">
        <x:v>词</x:v>
      </x:c>
      <x:c r="D52" s="8" t="str">
        <x:v>俞平伯《唐宋词选释》</x:v>
      </x:c>
      <x:c r="E52" s="8" t="str">
        <x:v>PDF 76</x:v>
      </x:c>
      <x:c r="F52" s="8" t="str">
        <x:v>三愿如同梁上燕，岁岁长相见。</x:v>
      </x:c>
      <x:c r="G52" s="8" t="str">
        <x:v>三愿如同梁上燕，岁岁长相见。</x:v>
      </x:c>
      <x:c r="H52" s="8" t="str">
        <x:v>女子向伴侣陈愿；借常相见的祝愿，不把原作称为普通朋友贺词。</x:v>
      </x:c>
      <x:c r="I52" s="8" t="str">
        <x:v>2026-10-29依据用户补充的实际版本核读原文及相关题解／注释。原作转简体，标点作阅读整理；祝酒文字为独立整理。</x:v>
      </x:c>
      <x:c r="J52" s="8" t="str"/>
      <x:c r="K52" s="10" t="n">
        <x:v>2</x:v>
      </x:c>
      <x:c r="L52" s="8" t="str">
        <x:v>春日宴，绿酒一杯歌一遍。再拜陈三愿：一愿郎君千岁，二愿妾身常健，三愿如同梁上燕，岁岁长相见。</x:v>
      </x:c>
      <x:c r="M52" s="8" t="str">
        <x:v>原作全文</x:v>
      </x:c>
      <x:c r="N52" s="8" t="str"/>
    </x:row>
    <x:row r="53" ht="42" customHeight="1">
      <x:c r="A53" s="9" t="str">
        <x:v>r04-ci-24</x:v>
      </x:c>
      <x:c r="B53" s="9" t="str">
        <x:v>韦庄《菩萨蛮·人人尽说江南好》</x:v>
      </x:c>
      <x:c r="C53" s="9" t="str">
        <x:v>词</x:v>
      </x:c>
      <x:c r="D53" s="9" t="str">
        <x:v>俞平伯《唐宋词选释》</x:v>
      </x:c>
      <x:c r="E53" s="9" t="str">
        <x:v>PDF 62</x:v>
      </x:c>
      <x:c r="F53" s="9" t="str">
        <x:v>春水碧于天，画船听雨眠。</x:v>
      </x:c>
      <x:c r="G53" s="9" t="str">
        <x:v>春水碧于天，画船听雨眠。</x:v>
      </x:c>
      <x:c r="H53" s="9" t="str">
        <x:v>羁旅江南的美好中有思乡难归，不将原词整体当作无忧闲居。</x:v>
      </x:c>
      <x:c r="I53" s="9" t="str">
        <x:v>2026-10-29依据用户补充的实际版本核读原文及相关题解／注释。原作转简体，标点作阅读整理；祝酒文字为独立整理。</x:v>
      </x:c>
      <x:c r="J53" s="9" t="str"/>
      <x:c r="K53" s="11" t="n">
        <x:v>2</x:v>
      </x:c>
      <x:c r="L53" s="9" t="str">
        <x:v>人人尽说江南好，游人只合江南老。春水碧于天，画船听雨眠。
炉边人似月，皓腕凝霜雪。未老莫还乡，还乡须断肠。</x:v>
      </x:c>
      <x:c r="M53" s="9" t="str">
        <x:v>原作全文</x:v>
      </x:c>
      <x:c r="N53" s="9" t="str"/>
    </x:row>
    <x:row r="54" ht="42" customHeight="1">
      <x:c r="A54" s="8" t="str">
        <x:v>r04-ci-25</x:v>
      </x:c>
      <x:c r="B54" s="8" t="str">
        <x:v>欧阳炯《南乡子·画舸停桡》</x:v>
      </x:c>
      <x:c r="C54" s="8" t="str">
        <x:v>词</x:v>
      </x:c>
      <x:c r="D54" s="8" t="str">
        <x:v>俞平伯《唐宋词选释》</x:v>
      </x:c>
      <x:c r="E54" s="8" t="str">
        <x:v>PDF 66—67</x:v>
      </x:c>
      <x:c r="F54" s="8" t="str">
        <x:v>笑指芭蕉林里住。</x:v>
      </x:c>
      <x:c r="G54" s="8" t="str">
        <x:v>笑指芭蕉林里住。</x:v>
      </x:c>
      <x:c r="H54" s="8" t="str">
        <x:v>南方水乡人物风情，女指住处；借自然相识，不预设邀约或对方住址。</x:v>
      </x:c>
      <x:c r="I54" s="8" t="str">
        <x:v>2026-10-29依据用户补充的实际版本核读原文及相关题解／注释。原作转简体，标点作阅读整理；祝酒文字为独立整理。</x:v>
      </x:c>
      <x:c r="J54" s="8" t="str"/>
      <x:c r="K54" s="10" t="n">
        <x:v>2</x:v>
      </x:c>
      <x:c r="L54" s="8" t="str">
        <x:v>画舸停桡，槿花篱外竹横桥。水上游人沙上女，回顾，笑指芭蕉林里住。</x:v>
      </x:c>
      <x:c r="M54" s="8" t="str">
        <x:v>原作全文</x:v>
      </x:c>
      <x:c r="N54" s="8" t="str"/>
    </x:row>
    <x:row r="55" ht="42" customHeight="1">
      <x:c r="A55" s="9" t="str">
        <x:v>r04-ci-26</x:v>
      </x:c>
      <x:c r="B55" s="9" t="str">
        <x:v>李珣《南乡子·乘彩舫》</x:v>
      </x:c>
      <x:c r="C55" s="9" t="str">
        <x:v>词</x:v>
      </x:c>
      <x:c r="D55" s="9" t="str">
        <x:v>俞平伯《唐宋词选释》</x:v>
      </x:c>
      <x:c r="E55" s="9" t="str">
        <x:v>PDF 69</x:v>
      </x:c>
      <x:c r="F55" s="9" t="str">
        <x:v>带香游女偎伴笑</x:v>
      </x:c>
      <x:c r="G55" s="9" t="str">
        <x:v>带香游女偎伴笑</x:v>
      </x:c>
      <x:c r="H55" s="9" t="str">
        <x:v>写女子结伴采荷游乐；借结伴的笑意，不复现诗中男女与地点。</x:v>
      </x:c>
      <x:c r="I55" s="9" t="str">
        <x:v>2026-10-29依据用户补充的实际版本核读原文及相关题解／注释。原作转简体，标点作阅读整理；祝酒文字为独立整理。</x:v>
      </x:c>
      <x:c r="J55" s="9" t="str"/>
      <x:c r="K55" s="11" t="n">
        <x:v>2</x:v>
      </x:c>
      <x:c r="L55" s="9" t="str">
        <x:v>乘彩舫，过莲塘，棹歌惊起睡鸳鸯。带香游女偎伴笑，争窈窕，竞折团荷遮晚照。</x:v>
      </x:c>
      <x:c r="M55" s="9" t="str">
        <x:v>原作全文</x:v>
      </x:c>
      <x:c r="N55" s="9" t="str"/>
    </x:row>
    <x:row r="56" ht="57" customHeight="1">
      <x:c r="A56" s="8" t="str">
        <x:v>r04-ci-27</x:v>
      </x:c>
      <x:c r="B56" s="8" t="str">
        <x:v>戴复古《洞仙歌·卖花担上》</x:v>
      </x:c>
      <x:c r="C56" s="8" t="str">
        <x:v>词</x:v>
      </x:c>
      <x:c r="D56" s="8" t="str">
        <x:v>俞平伯《唐宋词选释》</x:v>
      </x:c>
      <x:c r="E56" s="8" t="str">
        <x:v>PDF 193—194</x:v>
      </x:c>
      <x:c r="F56" s="8" t="str">
        <x:v>一笑且开怀，小阁团栾</x:v>
      </x:c>
      <x:c r="G56" s="8" t="str">
        <x:v>一笑且开怀，小阁团栾</x:v>
      </x:c>
      <x:c r="H56" s="8" t="str">
        <x:v>羁旅重阳而自遣，团栾即团聚；不宣称现场重阳或必有家乡人。</x:v>
      </x:c>
      <x:c r="I56" s="8" t="str">
        <x:v>2026-10-29依据用户补充的实际版本核读原文及相关题解／注释。原作转简体，标点作阅读整理；祝酒文字为独立整理。</x:v>
      </x:c>
      <x:c r="J56" s="8" t="str"/>
      <x:c r="K56" s="10" t="n">
        <x:v>2</x:v>
      </x:c>
      <x:c r="L56" s="8" t="str">
        <x:v>卖花担上，菊蕊金初破。说着重阳怎虚过。看画城簇簇，酒肆歌楼，奈没个巧处安排着我。
家乡煞远哩，抵死思量，枉把眉头万千锁。一笑且开怀，小阁团栾，旋簇着几般蔬果。把三杯两盏记时光，问有甚曲儿，好唱一个？</x:v>
      </x:c>
      <x:c r="M56" s="8" t="str">
        <x:v>原作全文</x:v>
      </x:c>
      <x:c r="N56" s="8" t="str"/>
    </x:row>
    <x:row r="57" ht="42" customHeight="1">
      <x:c r="A57" s="9" t="str">
        <x:v>r04-ci-28</x:v>
      </x:c>
      <x:c r="B57" s="9" t="str">
        <x:v>牛希济《生查子·春山烟欲收》</x:v>
      </x:c>
      <x:c r="C57" s="9" t="str">
        <x:v>词</x:v>
      </x:c>
      <x:c r="D57" s="9" t="str">
        <x:v>俞平伯《唐宋词选释》</x:v>
      </x:c>
      <x:c r="E57" s="9" t="str">
        <x:v>PDF 66</x:v>
      </x:c>
      <x:c r="F57" s="9" t="str">
        <x:v>语已多，情未了。</x:v>
      </x:c>
      <x:c r="G57" s="9" t="str">
        <x:v>语已多，情未了。</x:v>
      </x:c>
      <x:c r="H57" s="9" t="str">
        <x:v>恋人清晓惜别；借话未尽的惜别，不把普通朋友拟作恋人。</x:v>
      </x:c>
      <x:c r="I57" s="9" t="str">
        <x:v>2026-10-29依据用户补充的实际版本核读原文及相关题解／注释。原作转简体，标点作阅读整理；祝酒文字为独立整理。</x:v>
      </x:c>
      <x:c r="J57" s="9" t="str"/>
      <x:c r="K57" s="11" t="n">
        <x:v>2</x:v>
      </x:c>
      <x:c r="L57" s="9" t="str">
        <x:v>春山烟欲收，天淡稀星小。残月脸边明，别泪临清晓。
语已多，情未了，回首犹重道。记得绿罗裙，处处怜芳草。</x:v>
      </x:c>
      <x:c r="M57" s="9" t="str">
        <x:v>原作全文</x:v>
      </x:c>
      <x:c r="N57" s="9" t="str"/>
    </x:row>
    <x:row r="58" ht="42" customHeight="1">
      <x:c r="A58" s="8" t="str">
        <x:v>r04-story-01</x:v>
      </x:c>
      <x:c r="B58" s="8" t="str">
        <x:v>《世说新语·德行第二则》周子居忆黄叔度</x:v>
      </x:c>
      <x:c r="C58" s="8" t="str">
        <x:v>古文／语录</x:v>
      </x:c>
      <x:c r="D58" s="8" t="str">
        <x:v>刘义庆著、刘孝标注、余嘉锡笺疏《世说新语笺疏》</x:v>
      </x:c>
      <x:c r="E58" s="8" t="str">
        <x:v>PDF 13</x:v>
      </x:c>
      <x:c r="F58" s="8" t="str">
        <x:v>吾时月不见黄叔度，则鄙吝之心已复生矣。</x:v>
      </x:c>
      <x:c r="G58" s="8" t="str">
        <x:v>吾时月不见黄叔度，则鄙吝之心已复生矣。</x:v>
      </x:c>
      <x:c r="H58" s="8" t="str">
        <x:v>重在与宽厚之人相处的感受；不把朋友未见面说成品德变坏。</x:v>
      </x:c>
      <x:c r="I58" s="8" t="str">
        <x:v>2026-10-29依据用户补充的实际版本核读原文及相关题解／注释。原作转简体，标点作阅读整理；祝酒文字为独立整理。这是古籍中的叙事，不等于所有细节均获独立史实证实。</x:v>
      </x:c>
      <x:c r="J58" s="8" t="str"/>
      <x:c r="K58" s="10" t="n">
        <x:v>2</x:v>
      </x:c>
      <x:c r="L58" s="8" t="str">
        <x:v>周子居常云：“吾时月不见黄叔度，则鄙吝之心已复生矣。”</x:v>
      </x:c>
      <x:c r="M58" s="8" t="str">
        <x:v>故事所在条目原文 · 完整条目</x:v>
      </x:c>
      <x:c r="N58" s="8" t="str"/>
    </x:row>
    <x:row r="59" ht="42" customHeight="1">
      <x:c r="A59" s="9" t="str">
        <x:v>r04-story-02</x:v>
      </x:c>
      <x:c r="B59" s="9" t="str">
        <x:v>《世说新语·德行第三则》郭林宗访黄叔度</x:v>
      </x:c>
      <x:c r="C59" s="9" t="str">
        <x:v>古文／语录</x:v>
      </x:c>
      <x:c r="D59" s="9" t="str">
        <x:v>刘义庆著、刘孝标注、余嘉锡笺疏《世说新语笺疏》</x:v>
      </x:c>
      <x:c r="E59" s="9" t="str">
        <x:v>PDF 13—14</x:v>
      </x:c>
      <x:c r="F59" s="9" t="str">
        <x:v>其器深广，难测量也。</x:v>
      </x:c>
      <x:c r="G59" s="9" t="str">
        <x:v>其器深广，难测量也。</x:v>
      </x:c>
      <x:c r="H59" s="9" t="str">
        <x:v>以深广水泽比器量；人物名号与家传有考异，今天仅借宽厚自持之意，不做人格高下判定。</x:v>
      </x:c>
      <x:c r="I59" s="9" t="str">
        <x:v>2026-10-29依据用户补充的实际版本核读原文及相关题解／注释。原作转简体，标点作阅读整理；祝酒文字为独立整理。这是古籍中的叙事，不等于所有细节均获独立史实证实。</x:v>
      </x:c>
      <x:c r="J59" s="9" t="str"/>
      <x:c r="K59" s="11" t="n">
        <x:v>2</x:v>
      </x:c>
      <x:c r="L59" s="9" t="str">
        <x:v>郭林宗至汝南造袁奉高，车不停轨，鸾不辍轭。诣黄叔度，乃弥日信宿。人问其故？林宗曰：“叔度汪汪如万顷之陂。澄之不清，扰之不浊，其器深广，难测量也。”</x:v>
      </x:c>
      <x:c r="M59" s="9" t="str">
        <x:v>故事所在条目原文 · 完整条目</x:v>
      </x:c>
      <x:c r="N59" s="9" t="str"/>
    </x:row>
    <x:row r="60" ht="42" customHeight="1">
      <x:c r="A60" s="8" t="str">
        <x:v>r04-story-03</x:v>
      </x:c>
      <x:c r="B60" s="8" t="str">
        <x:v>《世说新语·德行第八则》元方季方难为兄弟</x:v>
      </x:c>
      <x:c r="C60" s="8" t="str">
        <x:v>古文／语录</x:v>
      </x:c>
      <x:c r="D60" s="8" t="str">
        <x:v>刘义庆著、刘孝标注、余嘉锡笺疏《世说新语笺疏》</x:v>
      </x:c>
      <x:c r="E60" s="8" t="str">
        <x:v>PDF 19</x:v>
      </x:c>
      <x:c r="F60" s="8" t="str">
        <x:v>元方难为兄，季方难为弟。</x:v>
      </x:c>
      <x:c r="G60" s="8" t="str">
        <x:v>元方难为兄，季方难为弟。</x:v>
      </x:c>
      <x:c r="H60" s="8" t="str">
        <x:v>原意兄弟各有美德，难分高下；不是今天口语中关系差的难兄难弟。</x:v>
      </x:c>
      <x:c r="I60" s="8" t="str">
        <x:v>2026-10-29依据用户补充的实际版本核读原文及相关题解／注释。原作转简体，标点作阅读整理；祝酒文字为独立整理。这是古籍中的叙事，不等于所有细节均获独立史实证实。</x:v>
      </x:c>
      <x:c r="J60" s="8" t="str"/>
      <x:c r="K60" s="10" t="n">
        <x:v>2</x:v>
      </x:c>
      <x:c r="L60" s="8" t="str">
        <x:v>陈元方子长文有英才，与季方子孝先，各论其父功德，争之不能决，咨于太丘。太丘曰：“元方难为兄，季方难为弟。”</x:v>
      </x:c>
      <x:c r="M60" s="8" t="str">
        <x:v>故事所在条目原文 · 完整条目</x:v>
      </x:c>
      <x:c r="N60" s="8" t="str"/>
    </x:row>
    <x:row r="61" ht="42" customHeight="1">
      <x:c r="A61" s="9" t="str">
        <x:v>r04-story-04</x:v>
      </x:c>
      <x:c r="B61" s="9" t="str">
        <x:v>《世说新语·德行第十三则》华歆王朗同舟</x:v>
      </x:c>
      <x:c r="C61" s="9" t="str">
        <x:v>古文／语录</x:v>
      </x:c>
      <x:c r="D61" s="9" t="str">
        <x:v>刘义庆著、刘孝标注、余嘉锡笺疏《世说新语笺疏》</x:v>
      </x:c>
      <x:c r="E61" s="9" t="str">
        <x:v>PDF 22—23</x:v>
      </x:c>
      <x:c r="F61" s="9" t="str">
        <x:v>既已纳其自托，宁可以急相弃邪？</x:v>
      </x:c>
      <x:c r="G61" s="9" t="str">
        <x:v>既已纳其自托，宁可以急相弃邪？</x:v>
      </x:c>
      <x:c r="H61" s="9" t="str">
        <x:v>笺疏指出当时二人行踪与同行说存在矛盾；作为文本故事取承诺负责之意，不宣称已证实史实。</x:v>
      </x:c>
      <x:c r="I61" s="9" t="str">
        <x:v>2026-10-29依据用户补充的实际版本核读原文及相关题解／注释。原作转简体，标点作阅读整理；祝酒文字为独立整理。这是古籍中的叙事，不等于所有细节均获独立史实证实。</x:v>
      </x:c>
      <x:c r="J61" s="9" t="str"/>
      <x:c r="K61" s="11" t="n">
        <x:v>2</x:v>
      </x:c>
      <x:c r="L61" s="9" t="str">
        <x:v>华歆、王朗俱乘船避难，有一人欲依附，歆辄难之。朗曰：“幸尚宽，何为不可？”后贼追至，王欲舍所携人。歆曰：“本所以疑，正为此耳。既已纳其自托，宁可以急相弃邪？”遂携拯如初。世以此定华、王之优劣。</x:v>
      </x:c>
      <x:c r="M61" s="9" t="str">
        <x:v>故事所在条目原文 · 完整条目</x:v>
      </x:c>
      <x:c r="N61" s="9" t="str"/>
    </x:row>
    <x:row r="62" ht="42" customHeight="1">
      <x:c r="A62" s="8" t="str">
        <x:v>r04-story-05</x:v>
      </x:c>
      <x:c r="B62" s="8" t="str">
        <x:v>《世说新语·德行第二十五则》顾荣分炙</x:v>
      </x:c>
      <x:c r="C62" s="8" t="str">
        <x:v>古文／语录</x:v>
      </x:c>
      <x:c r="D62" s="8" t="str">
        <x:v>刘义庆著、刘孝标注、余嘉锡笺疏《世说新语笺疏》</x:v>
      </x:c>
      <x:c r="E62" s="8" t="str">
        <x:v>PDF 32—33</x:v>
      </x:c>
      <x:c r="F62" s="8" t="str">
        <x:v>岂有终日执之，而不知其味者乎？</x:v>
      </x:c>
      <x:c r="G62" s="8" t="str">
        <x:v>岂有终日执之，而不知其味者乎？</x:v>
      </x:c>
      <x:c r="H62" s="8" t="str">
        <x:v>原条目与所引传记对获救时间情节不同；借顾及辛劳者的体贴，不推导行善必获回报。</x:v>
      </x:c>
      <x:c r="I62" s="8" t="str">
        <x:v>2026-10-29依据用户补充的实际版本核读原文及相关题解／注释。原作转简体，标点作阅读整理；祝酒文字为独立整理。这是古籍中的叙事，不等于所有细节均获独立史实证实。</x:v>
      </x:c>
      <x:c r="J62" s="8" t="str"/>
      <x:c r="K62" s="10" t="n">
        <x:v>2</x:v>
      </x:c>
      <x:c r="L62" s="8" t="str">
        <x:v>顾荣在洛阳，尝应人请，觉行炙人有欲炙之色，因辍己施焉。同坐嗤之。荣曰：“岂有终日执之，而不知其味者乎？”后遭乱渡江，每经危急，常有一人左右己，问其所以，乃受炙人也。</x:v>
      </x:c>
      <x:c r="M62" s="8" t="str">
        <x:v>故事所在条目原文 · 完整条目</x:v>
      </x:c>
      <x:c r="N62" s="8" t="str"/>
    </x:row>
    <x:row r="63" ht="42" customHeight="1">
      <x:c r="A63" s="9" t="str">
        <x:v>r04-story-06</x:v>
      </x:c>
      <x:c r="B63" s="9" t="str">
        <x:v>《世说新语·德行第四十四则》王恭身无长物</x:v>
      </x:c>
      <x:c r="C63" s="9" t="str">
        <x:v>古文／语录</x:v>
      </x:c>
      <x:c r="D63" s="9" t="str">
        <x:v>刘义庆著、刘孝标注、余嘉锡笺疏《世说新语笺疏》</x:v>
      </x:c>
      <x:c r="E63" s="9" t="str">
        <x:v>PDF 51—52</x:v>
      </x:c>
      <x:c r="F63" s="9" t="str">
        <x:v>恭作人无长物。</x:v>
      </x:c>
      <x:c r="G63" s="9" t="str">
        <x:v>恭作人无长物。</x:v>
      </x:c>
      <x:c r="H63" s="9" t="str">
        <x:v>长物指多余之物，不是没有长处；不提倡为人情牺牲生活必需。</x:v>
      </x:c>
      <x:c r="I63" s="9" t="str">
        <x:v>2026-10-29依据用户补充的实际版本核读原文及相关题解／注释。原作转简体，标点作阅读整理；祝酒文字为独立整理。这是古籍中的叙事，不等于所有细节均获独立史实证实。</x:v>
      </x:c>
      <x:c r="J63" s="9" t="str"/>
      <x:c r="K63" s="11" t="n">
        <x:v>2</x:v>
      </x:c>
      <x:c r="L63" s="9" t="str">
        <x:v>王恭从会稽还，王大看之。见其坐六尺簟，因语恭：“卿东来，故应有此物，可以一领及我。”恭无言。大去后，即举所坐者送之。既无余席，便坐荐上。后大闻之甚惊，曰：“吾本谓卿多，故求耳。”对曰：“丈人不悉恭，恭作人无长物。”</x:v>
      </x:c>
      <x:c r="M63" s="9" t="str">
        <x:v>故事所在条目原文 · 完整条目</x:v>
      </x:c>
      <x:c r="N63" s="9" t="str"/>
    </x:row>
    <x:row r="64" ht="57" customHeight="1">
      <x:c r="A64" s="8" t="str">
        <x:v>r04-story-07</x:v>
      </x:c>
      <x:c r="B64" s="8" t="str">
        <x:v>《世说新语·德行第四十五则》陈遗贮焦饭</x:v>
      </x:c>
      <x:c r="C64" s="8" t="str">
        <x:v>古文／语录</x:v>
      </x:c>
      <x:c r="D64" s="8" t="str">
        <x:v>刘义庆著、刘孝标注、余嘉锡笺疏《世说新语笺疏》</x:v>
      </x:c>
      <x:c r="E64" s="8" t="str">
        <x:v>PDF 52—54</x:v>
      </x:c>
      <x:c r="F64" s="8" t="str">
        <x:v>每煮食，辄贮录焦饭，归以遗母。</x:v>
      </x:c>
      <x:c r="G64" s="8" t="str">
        <x:v>每煮食，辄贮录焦饭，归以遗母。</x:v>
      </x:c>
      <x:c r="H64" s="8" t="str">
        <x:v>取记住亲人喜好的日常照料；末尾因果属当时解释，不作孝行必保平安的承诺。</x:v>
      </x:c>
      <x:c r="I64" s="8" t="str">
        <x:v>2026-10-29依据用户补充的实际版本核读原文及相关题解／注释。原作转简体，标点作阅读整理；祝酒文字为独立整理。这是古籍中的叙事，不等于所有细节均获独立史实证实。</x:v>
      </x:c>
      <x:c r="J64" s="8" t="str"/>
      <x:c r="K64" s="10" t="n">
        <x:v>2</x:v>
      </x:c>
      <x:c r="L64" s="8" t="str">
        <x:v>吴郡陈遗，家至孝，母好食铛底焦饭。遗作郡主簿，恒装一囊，每煮食，辄贮录焦饭，归以遗母。后值孙恩贼出吴郡，袁府君即日便征，遗已聚敛得数斗焦饭，未展归家，遂带以从军。战于沪渎，败。军人溃散，逃走山泽，皆多饥死，遗独以焦饭得活。时人以为纯孝之报也。</x:v>
      </x:c>
      <x:c r="M64" s="8" t="str">
        <x:v>故事所在条目原文 · 完整条目</x:v>
      </x:c>
      <x:c r="N64" s="8" t="str"/>
    </x:row>
    <x:row r="65" ht="42" customHeight="1">
      <x:c r="A65" s="9" t="str">
        <x:v>r04-story-08</x:v>
      </x:c>
      <x:c r="B65" s="9" t="str">
        <x:v>《世说新语·言语第七十一则》谢道韫咏雪</x:v>
      </x:c>
      <x:c r="C65" s="9" t="str">
        <x:v>古文／语录</x:v>
      </x:c>
      <x:c r="D65" s="9" t="str">
        <x:v>刘义庆著、刘孝标注、余嘉锡笺疏《世说新语笺疏》</x:v>
      </x:c>
      <x:c r="E65" s="9" t="str">
        <x:v>PDF 121—122</x:v>
      </x:c>
      <x:c r="F65" s="9" t="str">
        <x:v>未若柳絮因风起。</x:v>
      </x:c>
      <x:c r="G65" s="9" t="str">
        <x:v>未若柳絮因风起。</x:v>
      </x:c>
      <x:c r="H65" s="9" t="str">
        <x:v>雪日家庭论文比喻，不推断今天下雪；姓名异说与诗意高下另议，不拿他人作陪衬。</x:v>
      </x:c>
      <x:c r="I65" s="9" t="str">
        <x:v>2026-10-29依据用户补充的实际版本核读原文及相关题解／注释。原作转简体，标点作阅读整理；祝酒文字为独立整理。这是古籍中的叙事，不等于所有细节均获独立史实证实。</x:v>
      </x:c>
      <x:c r="J65" s="9" t="str"/>
      <x:c r="K65" s="11" t="n">
        <x:v>2</x:v>
      </x:c>
      <x:c r="L65" s="9" t="str">
        <x:v>谢太傅寒雪日内集，与儿女讲论文义。俄而雪骤，公欣然曰：“白雪纷纷何所似？”兄子胡儿曰：“撒盐空中差可拟。”兄女曰：“未若柳絮因风起。”公大笑乐。即公大兄无奕女，左将军王凝之妻也。</x:v>
      </x:c>
      <x:c r="M65" s="9" t="str">
        <x:v>故事所在条目原文 · 完整条目</x:v>
      </x:c>
      <x:c r="N65" s="9" t="str"/>
    </x:row>
    <x:row r="66" ht="42" customHeight="1">
      <x:c r="A66" s="8" t="str">
        <x:v>r04-story-09</x:v>
      </x:c>
      <x:c r="B66" s="8" t="str">
        <x:v>《世说新语·言语第九十一则》王子敬山阴道</x:v>
      </x:c>
      <x:c r="C66" s="8" t="str">
        <x:v>古文／语录</x:v>
      </x:c>
      <x:c r="D66" s="8" t="str">
        <x:v>刘义庆著、刘孝标注、余嘉锡笺疏《世说新语笺疏》</x:v>
      </x:c>
      <x:c r="E66" s="8" t="str">
        <x:v>PDF 133</x:v>
      </x:c>
      <x:c r="F66" s="8" t="str">
        <x:v>山川自相映发，使人应接不暇。</x:v>
      </x:c>
      <x:c r="G66" s="8" t="str">
        <x:v>山川自相映发，使人应接不暇。</x:v>
      </x:c>
      <x:c r="H66" s="8" t="str">
        <x:v>描绘山阴山水，秋冬仍好；借眼界与生活兴味，不把饭桌说在山阴。</x:v>
      </x:c>
      <x:c r="I66" s="8" t="str">
        <x:v>2026-10-29依据用户补充的实际版本核读原文及相关题解／注释。原作转简体，标点作阅读整理；祝酒文字为独立整理。这是古籍中的叙事，不等于所有细节均获独立史实证实。</x:v>
      </x:c>
      <x:c r="J66" s="8" t="str"/>
      <x:c r="K66" s="10" t="n">
        <x:v>2</x:v>
      </x:c>
      <x:c r="L66" s="8" t="str">
        <x:v>王子敬云：“从山阴道上行，山川自相映发，使人应接不暇。若秋冬之际，尤难为坏。”</x:v>
      </x:c>
      <x:c r="M66" s="8" t="str">
        <x:v>故事所在条目原文 · 完整条目</x:v>
      </x:c>
      <x:c r="N66" s="8" t="str"/>
    </x:row>
    <x:row r="67" ht="42" customHeight="1">
      <x:c r="A67" s="9" t="str">
        <x:v>r04-story-10</x:v>
      </x:c>
      <x:c r="B67" s="9" t="str">
        <x:v>《世说新语·言语第九十二则》谢玄芝兰玉树</x:v>
      </x:c>
      <x:c r="C67" s="9" t="str">
        <x:v>古文／语录</x:v>
      </x:c>
      <x:c r="D67" s="9" t="str">
        <x:v>刘义庆著、刘孝标注、余嘉锡笺疏《世说新语笺疏》</x:v>
      </x:c>
      <x:c r="E67" s="9" t="str">
        <x:v>PDF 133</x:v>
      </x:c>
      <x:c r="F67" s="9" t="str">
        <x:v>譬如芝兰玉树，欲使其生于阶庭耳。</x:v>
      </x:c>
      <x:c r="G67" s="9" t="str">
        <x:v>譬如芝兰玉树，欲使其生于阶庭耳。</x:v>
      </x:c>
      <x:c r="H67" s="9" t="str">
        <x:v>车骑指谢玄，原谈子弟成长；借培育和欣赏，不默认用户有子女、不夸定前程。</x:v>
      </x:c>
      <x:c r="I67" s="9" t="str">
        <x:v>2026-10-29依据用户补充的实际版本核读原文及相关题解／注释。原作转简体，标点作阅读整理；祝酒文字为独立整理。这是古籍中的叙事，不等于所有细节均获独立史实证实。</x:v>
      </x:c>
      <x:c r="J67" s="9" t="str"/>
      <x:c r="K67" s="11" t="n">
        <x:v>2</x:v>
      </x:c>
      <x:c r="L67" s="9" t="str">
        <x:v>谢太傅问诸子侄：“子弟亦何预人事，而正欲使其佳？”诸人莫有言者，车骑答曰：“譬如芝兰玉树，欲使其生于阶庭耳。”</x:v>
      </x:c>
      <x:c r="M67" s="9" t="str">
        <x:v>故事所在条目原文 · 完整条目</x:v>
      </x:c>
      <x:c r="N67" s="9" t="str"/>
    </x:row>
    <x:row r="68" ht="57" customHeight="1">
      <x:c r="A68" s="8" t="str">
        <x:v>r04-story-11</x:v>
      </x:c>
      <x:c r="B68" s="8" t="str">
        <x:v>《世说新语·政事第十六则》陶侃留木屑竹头</x:v>
      </x:c>
      <x:c r="C68" s="8" t="str">
        <x:v>古文／语录</x:v>
      </x:c>
      <x:c r="D68" s="8" t="str">
        <x:v>刘义庆著、刘孝标注、余嘉锡笺疏《世说新语笺疏》</x:v>
      </x:c>
      <x:c r="E68" s="8" t="str">
        <x:v>PDF 160—161</x:v>
      </x:c>
      <x:c r="F68" s="8" t="str">
        <x:v>敕船官悉录锯木屑，不限多少。</x:v>
      </x:c>
      <x:c r="G68" s="8" t="str">
        <x:v>敕船官悉录锯木屑，不限多少。</x:v>
      </x:c>
      <x:c r="H68" s="8" t="str">
        <x:v>日常留心与物尽其用，个别年代须考；不美化繁琐管理或预设用户已有相关功绩。</x:v>
      </x:c>
      <x:c r="I68" s="8" t="str">
        <x:v>2026-10-29依据用户补充的实际版本核读原文及相关题解／注释。原作转简体，标点作阅读整理；祝酒文字为独立整理。这是古籍中的叙事，不等于所有细节均获独立史实证实。</x:v>
      </x:c>
      <x:c r="J68" s="8" t="str"/>
      <x:c r="K68" s="10" t="n">
        <x:v>2</x:v>
      </x:c>
      <x:c r="L68" s="8" t="str">
        <x:v>陶公性检厉，勤于事。作荆州时，敕船官悉录锯木屑，不限多少，咸不解此意。后正会，值积雪始晴，听事前除雪后犹湿，于是悉用木屑覆之，都无所妨。官用竹皆令录厚头，积之如山。后桓宣武伐蜀，装船，悉以作钉。又云：尝发所在竹篙，有一官长连根取之，仍当足，乃超两阶用之。</x:v>
      </x:c>
      <x:c r="M68" s="8" t="str">
        <x:v>故事所在条目原文 · 完整条目</x:v>
      </x:c>
      <x:c r="N68" s="8" t="str"/>
    </x:row>
    <x:row r="69" ht="42" customHeight="1">
      <x:c r="A69" s="9" t="str">
        <x:v>r04-story-12</x:v>
      </x:c>
      <x:c r="B69" s="9" t="str">
        <x:v>《世说新语·文学第十八则》阮修三语掾</x:v>
      </x:c>
      <x:c r="C69" s="9" t="str">
        <x:v>古文／语录</x:v>
      </x:c>
      <x:c r="D69" s="9" t="str">
        <x:v>刘义庆著、刘孝标注、余嘉锡笺疏《世说新语笺疏》</x:v>
      </x:c>
      <x:c r="E69" s="9" t="str">
        <x:v>PDF 183—184</x:v>
      </x:c>
      <x:c r="F69" s="9" t="str">
        <x:v>将无同？</x:v>
      </x:c>
      <x:c r="G69" s="9" t="str">
        <x:v>将无同？</x:v>
      </x:c>
      <x:c r="H69" s="9" t="str">
        <x:v>将无同为反问式揣度，不译为简单没有相同；不暗示只凭短话就能获任用。</x:v>
      </x:c>
      <x:c r="I69" s="9" t="str">
        <x:v>2026-10-29依据用户补充的实际版本核读原文及相关题解／注释。原作转简体，标点作阅读整理；祝酒文字为独立整理。这是古籍中的叙事，不等于所有细节均获独立史实证实。</x:v>
      </x:c>
      <x:c r="J69" s="9" t="str"/>
      <x:c r="K69" s="11" t="n">
        <x:v>2</x:v>
      </x:c>
      <x:c r="L69" s="9" t="str">
        <x:v>阮宣子有令闻，太尉王夷甫见而问曰：“老、庄与圣教同异？”对曰：“将无同？”太尉善其言，辟之为掾。世谓“三语掾”。卫玠嘲之曰：“一言可辟，何假于三？”宣子曰：“苟是天下人望，亦可无言而辟，复何假一？”遂相与为友。</x:v>
      </x:c>
      <x:c r="M69" s="9" t="str">
        <x:v>故事所在条目原文 · 完整条目</x:v>
      </x:c>
      <x:c r="N69" s="9" t="str"/>
    </x:row>
    <x:row r="70" ht="42" customHeight="1">
      <x:c r="A70" s="8" t="str">
        <x:v>r04-story-13</x:v>
      </x:c>
      <x:c r="B70" s="8" t="str">
        <x:v>《世说新语·雅量第二十则》羊曼待客真率</x:v>
      </x:c>
      <x:c r="C70" s="8" t="str">
        <x:v>古文／语录</x:v>
      </x:c>
      <x:c r="D70" s="8" t="str">
        <x:v>刘义庆著、刘孝标注、余嘉锡笺疏《世说新语笺疏》</x:v>
      </x:c>
      <x:c r="E70" s="8" t="str">
        <x:v>PDF 312</x:v>
      </x:c>
      <x:c r="F70" s="8" t="str">
        <x:v>随客早晚，不问贵贱。</x:v>
      </x:c>
      <x:c r="G70" s="8" t="str">
        <x:v>随客早晚，不问贵贱。</x:v>
      </x:c>
      <x:c r="H70" s="8" t="str">
        <x:v>古人评论待客真率，不意味早晚客应区别对待；不照搬官场贵贱。</x:v>
      </x:c>
      <x:c r="I70" s="8" t="str">
        <x:v>2026-10-29依据用户补充的实际版本核读原文及相关题解／注释。原作转简体，标点作阅读整理；祝酒文字为独立整理。这是古籍中的叙事，不等于所有细节均获独立史实证实。</x:v>
      </x:c>
      <x:c r="J70" s="8" t="str"/>
      <x:c r="K70" s="10" t="n">
        <x:v>2</x:v>
      </x:c>
      <x:c r="L70" s="8" t="str">
        <x:v>过江初，拜官，舆饰供馔。羊曼拜丹阳尹，客来蚤者，并得佳设。日晏渐罄，不复及精，随客早晚，不问贵贱。羊固拜临海，竟日皆美供。虽晚至，亦获盛馔。时论以固之丰华，不如曼之真率。</x:v>
      </x:c>
      <x:c r="M70" s="8" t="str">
        <x:v>故事所在条目原文 · 完整条目</x:v>
      </x:c>
      <x:c r="N70" s="8" t="str"/>
    </x:row>
    <x:row r="71" ht="42" customHeight="1">
      <x:c r="A71" s="9" t="str">
        <x:v>r04-story-14</x:v>
      </x:c>
      <x:c r="B71" s="9" t="str">
        <x:v>《世说新语·雅量第三十三则》谢奉避谈失官</x:v>
      </x:c>
      <x:c r="C71" s="9" t="str">
        <x:v>古文／语录</x:v>
      </x:c>
      <x:c r="D71" s="9" t="str">
        <x:v>刘义庆著、刘孝标注、余嘉锡笺疏《世说新语笺疏》</x:v>
      </x:c>
      <x:c r="E71" s="9" t="str">
        <x:v>PDF 320</x:v>
      </x:c>
      <x:c r="F71" s="9" t="str">
        <x:v>虽信宿中涂，竟不言及此事。</x:v>
      </x:c>
      <x:c r="G71" s="9" t="str">
        <x:v>虽信宿中涂，竟不言及此事。</x:v>
      </x:c>
      <x:c r="H71" s="9" t="str">
        <x:v>笺疏对时序提出疑问；借尊重别人谈话边界，不默认今天有人失职。</x:v>
      </x:c>
      <x:c r="I71" s="9" t="str">
        <x:v>2026-10-29依据用户补充的实际版本核读原文及相关题解／注释。原作转简体，标点作阅读整理；祝酒文字为独立整理。这是古籍中的叙事，不等于所有细节均获独立史实证实。</x:v>
      </x:c>
      <x:c r="J71" s="9" t="str"/>
      <x:c r="K71" s="11" t="n">
        <x:v>2</x:v>
      </x:c>
      <x:c r="L71" s="9" t="str">
        <x:v>谢安南免吏部尚书还东，谢太傅赴桓公司马出西，相遇破冈。既当远别，遂停三日共语。太傅欲慰其失官，安南辄引以它端。虽信宿中涂，竟不言及此事。太傅深恨在心未尽，谓同舟曰：“谢奉故是奇士。”</x:v>
      </x:c>
      <x:c r="M71" s="9" t="str">
        <x:v>故事所在条目原文 · 完整条目</x:v>
      </x:c>
      <x:c r="N71" s="9" t="str"/>
    </x:row>
    <x:row r="72" ht="42" customHeight="1">
      <x:c r="A72" s="8" t="str">
        <x:v>r04-story-15</x:v>
      </x:c>
      <x:c r="B72" s="8" t="str">
        <x:v>《世说新语·雅量第三十四则》戴逵谈琴书</x:v>
      </x:c>
      <x:c r="C72" s="8" t="str">
        <x:v>古文／语录</x:v>
      </x:c>
      <x:c r="D72" s="8" t="str">
        <x:v>刘义庆著、刘孝标注、余嘉锡笺疏《世说新语笺疏》</x:v>
      </x:c>
      <x:c r="E72" s="8" t="str">
        <x:v>PDF 320</x:v>
      </x:c>
      <x:c r="F72" s="8" t="str">
        <x:v>而谈琴书愈妙。</x:v>
      </x:c>
      <x:c r="G72" s="8" t="str">
        <x:v>而谈琴书愈妙。</x:v>
      </x:c>
      <x:c r="H72" s="8" t="str">
        <x:v>借从容分享所爱，不赞美轻视他人的试探；今天不预设双方有高下。</x:v>
      </x:c>
      <x:c r="I72" s="8" t="str">
        <x:v>2026-10-29依据用户补充的实际版本核读原文及相关题解／注释。原作转简体，标点作阅读整理；祝酒文字为独立整理。这是古籍中的叙事，不等于所有细节均获独立史实证实。</x:v>
      </x:c>
      <x:c r="J72" s="8" t="str"/>
      <x:c r="K72" s="10" t="n">
        <x:v>2</x:v>
      </x:c>
      <x:c r="L72" s="8" t="str">
        <x:v>戴公从东出，谢太傅往看之。谢本轻戴，见但与论琴书。戴既无吝色，而谈琴书愈妙。谢悠然知其量。</x:v>
      </x:c>
      <x:c r="M72" s="8" t="str">
        <x:v>故事所在条目原文 · 完整条目</x:v>
      </x:c>
      <x:c r="N72" s="8" t="str"/>
    </x:row>
    <x:row r="73" ht="42" customHeight="1">
      <x:c r="A73" s="9" t="str">
        <x:v>r04-story-16</x:v>
      </x:c>
      <x:c r="B73" s="9" t="str">
        <x:v>《世说新语·雅量第三十五则》谢安围棋闻捷</x:v>
      </x:c>
      <x:c r="C73" s="9" t="str">
        <x:v>古文／语录</x:v>
      </x:c>
      <x:c r="D73" s="9" t="str">
        <x:v>刘义庆著、刘孝标注、余嘉锡笺疏《世说新语笺疏》</x:v>
      </x:c>
      <x:c r="E73" s="9" t="str">
        <x:v>PDF 320—321</x:v>
      </x:c>
      <x:c r="F73" s="9" t="str">
        <x:v>意色举止，不异于常。</x:v>
      </x:c>
      <x:c r="G73" s="9" t="str">
        <x:v>意色举止，不异于常。</x:v>
      </x:c>
      <x:c r="H73" s="9" t="str">
        <x:v>军事捷报中的镇定，后文亦有折屐表现；借从容，不编造今天的战功或项目成果。</x:v>
      </x:c>
      <x:c r="I73" s="9" t="str">
        <x:v>2026-10-29依据用户补充的实际版本核读原文及相关题解／注释。原作转简体，标点作阅读整理；祝酒文字为独立整理。这是古籍中的叙事，不等于所有细节均获独立史实证实。</x:v>
      </x:c>
      <x:c r="J73" s="9" t="str"/>
      <x:c r="K73" s="11" t="n">
        <x:v>2</x:v>
      </x:c>
      <x:c r="L73" s="9" t="str">
        <x:v>谢公与人围棋，俄而谢玄淮上信至。看书竟，默然无言，徐向局。客问淮上利害？答曰：“小儿辈大破贼。”意色举止，不异于常。</x:v>
      </x:c>
      <x:c r="M73" s="9" t="str">
        <x:v>故事所在条目原文 · 完整条目</x:v>
      </x:c>
      <x:c r="N73" s="9" t="str"/>
    </x:row>
    <x:row r="74" ht="42" customHeight="1">
      <x:c r="A74" s="8" t="str">
        <x:v>r04-story-17</x:v>
      </x:c>
      <x:c r="B74" s="8" t="str">
        <x:v>《世说新语·任诞第四十六则》王子猷暂居种竹</x:v>
      </x:c>
      <x:c r="C74" s="8" t="str">
        <x:v>古文／语录</x:v>
      </x:c>
      <x:c r="D74" s="8" t="str">
        <x:v>刘义庆著、刘孝标注、余嘉锡笺疏《世说新语笺疏》</x:v>
      </x:c>
      <x:c r="E74" s="8" t="str">
        <x:v>PDF 628</x:v>
      </x:c>
      <x:c r="F74" s="8" t="str">
        <x:v>何可一日无此君？</x:v>
      </x:c>
      <x:c r="G74" s="8" t="str">
        <x:v>何可一日无此君？</x:v>
      </x:c>
      <x:c r="H74" s="8" t="str">
        <x:v>此君指竹，不是向领导作人身依附表态；不模仿未经允许改动他人居所。</x:v>
      </x:c>
      <x:c r="I74" s="8" t="str">
        <x:v>2026-10-29依据用户补充的实际版本核读原文及相关题解／注释。原作转简体，标点作阅读整理；祝酒文字为独立整理。这是古籍中的叙事，不等于所有细节均获独立史实证实。</x:v>
      </x:c>
      <x:c r="J74" s="8" t="str"/>
      <x:c r="K74" s="10" t="n">
        <x:v>2</x:v>
      </x:c>
      <x:c r="L74" s="8" t="str">
        <x:v>王子猷尝暂寄人空宅住，便令种竹。或问：“暂住何烦尔？”王啸咏良久，直指竹曰：“何可一日无此君？”</x:v>
      </x:c>
      <x:c r="M74" s="8" t="str">
        <x:v>故事所在条目原文 · 完整条目</x:v>
      </x:c>
      <x:c r="N74" s="8" t="str"/>
    </x:row>
    <x:row r="75" ht="42" customHeight="1">
      <x:c r="A75" s="9" t="str">
        <x:v>r04-story-18</x:v>
      </x:c>
      <x:c r="B75" s="9" t="str">
        <x:v>《世说新语·任诞第四十七则》雪夜访戴</x:v>
      </x:c>
      <x:c r="C75" s="9" t="str">
        <x:v>古文／语录</x:v>
      </x:c>
      <x:c r="D75" s="9" t="str">
        <x:v>刘义庆著、刘孝标注、余嘉锡笺疏《世说新语笺疏》</x:v>
      </x:c>
      <x:c r="E75" s="9" t="str">
        <x:v>PDF 628</x:v>
      </x:c>
      <x:c r="F75" s="9" t="str">
        <x:v>吾本乘兴而行，兴尽而返，何必见戴？</x:v>
      </x:c>
      <x:c r="G75" s="9" t="str">
        <x:v>吾本乘兴而行，兴尽而返，何必见戴？</x:v>
      </x:c>
      <x:c r="H75" s="9" t="str">
        <x:v>故事中没有见到戴逵；借兴致，不美化失约、不把兴尽而返写成宾主相会。</x:v>
      </x:c>
      <x:c r="I75" s="9" t="str">
        <x:v>2026-10-29依据用户补充的实际版本核读原文及相关题解／注释。原作转简体，标点作阅读整理；祝酒文字为独立整理。这是古籍中的叙事，不等于所有细节均获独立史实证实。</x:v>
      </x:c>
      <x:c r="J75" s="9" t="str"/>
      <x:c r="K75" s="11" t="n">
        <x:v>2</x:v>
      </x:c>
      <x:c r="L75" s="9" t="str">
        <x:v>王子猷居山阴，夜大雪，眠觉，开室，命酌酒。四望皎然，因起仿偟，咏左思招隐诗。忽忆戴安道，时戴在剡，即便夜乘小船就之。经宿方至，造门不前而返。人问其故，王曰：“吾本乘兴而行，兴尽而返，何必见戴？”</x:v>
      </x:c>
      <x:c r="M75" s="9" t="str">
        <x:v>故事所在条目原文 · 完整条目</x:v>
      </x:c>
      <x:c r="N75" s="9" t="str"/>
    </x:row>
    <x:row r="76" ht="57" customHeight="1">
      <x:c r="A76" s="8" t="str">
        <x:v>r04-story-19</x:v>
      </x:c>
      <x:c r="B76" s="8" t="str">
        <x:v>《世说新语·任诞第四十九则》桓伊笛三调</x:v>
      </x:c>
      <x:c r="C76" s="8" t="str">
        <x:v>古文／语录</x:v>
      </x:c>
      <x:c r="D76" s="8" t="str">
        <x:v>刘义庆著、刘孝标注、余嘉锡笺疏《世说新语笺疏》</x:v>
      </x:c>
      <x:c r="E76" s="8" t="str">
        <x:v>PDF 628—629</x:v>
      </x:c>
      <x:c r="F76" s="8" t="str">
        <x:v>客主不交一言。</x:v>
      </x:c>
      <x:c r="G76" s="8" t="str">
        <x:v>客主不交一言。</x:v>
      </x:c>
      <x:c r="H76" s="8" t="str">
        <x:v>桓伊应邀奏笛，前后没有交谈；不编造二人从此成为挚友。</x:v>
      </x:c>
      <x:c r="I76" s="8" t="str">
        <x:v>2026-10-29依据用户补充的实际版本核读原文及相关题解／注释。原作转简体，标点作阅读整理；祝酒文字为独立整理。这是古籍中的叙事，不等于所有细节均获独立史实证实。</x:v>
      </x:c>
      <x:c r="J76" s="8" t="str"/>
      <x:c r="K76" s="10" t="n">
        <x:v>2</x:v>
      </x:c>
      <x:c r="L76" s="8" t="str">
        <x:v>王子猷出都，尚在渚下。旧闻桓子野善吹笛，而不相识。遇桓于岸上过，王在船中，客有识之者云：“是桓子野。”王便令人与相闻云：“闻君善吹笛，试为我一奏。”桓时已贵显，素闻王名，即便回下车，踞胡床，为作三调。弄毕，便上车去。客主不交一言。</x:v>
      </x:c>
      <x:c r="M76" s="8" t="str">
        <x:v>故事所在条目原文 · 完整条目</x:v>
      </x:c>
      <x:c r="N76" s="8" t="str"/>
    </x:row>
    <x:row r="77" ht="42" customHeight="1">
      <x:c r="A77" s="9" t="str">
        <x:v>r04-story-20</x:v>
      </x:c>
      <x:c r="B77" s="9" t="str">
        <x:v>《世说新语·方正第五十六则》罗君章不强作交谈</x:v>
      </x:c>
      <x:c r="C77" s="9" t="str">
        <x:v>古文／语录</x:v>
      </x:c>
      <x:c r="D77" s="9" t="str">
        <x:v>刘义庆著、刘孝标注、余嘉锡笺疏《世说新语笺疏》</x:v>
      </x:c>
      <x:c r="E77" s="9" t="str">
        <x:v>PDF 285—286</x:v>
      </x:c>
      <x:c r="F77" s="9" t="str">
        <x:v>相识已多，不烦复尔。</x:v>
      </x:c>
      <x:c r="G77" s="9" t="str">
        <x:v>相识已多，不烦复尔。</x:v>
      </x:c>
      <x:c r="H77" s="9" t="str">
        <x:v>罗含简傲答语并非现代社交范本；借来轻轻自嘲，不让用户照说以拒客。</x:v>
      </x:c>
      <x:c r="I77" s="9" t="str">
        <x:v>2026-10-29依据用户补充的实际版本核读原文及相关题解／注释。原作转简体，标点作阅读整理；祝酒文字为独立整理。这是古籍中的叙事，不等于所有细节均获独立史实证实。</x:v>
      </x:c>
      <x:c r="J77" s="9" t="str"/>
      <x:c r="K77" s="11" t="n">
        <x:v>2</x:v>
      </x:c>
      <x:c r="L77" s="9" t="str">
        <x:v>罗君章曾在人家，主人令与坐上客共语。答曰：“相识已多，不烦复尔。”</x:v>
      </x:c>
      <x:c r="M77" s="9" t="str">
        <x:v>故事所在条目原文 · 完整条目</x:v>
      </x:c>
      <x:c r="N77" s="9" t="str"/>
    </x:row>
    <x:row r="78" ht="72" customHeight="1">
      <x:c r="A78" s="8" t="str">
        <x:v>r04-story-21</x:v>
      </x:c>
      <x:c r="B78" s="8" t="str">
        <x:v>《世说新语·任诞第三十八则》刘驎之寄鱼作鲙</x:v>
      </x:c>
      <x:c r="C78" s="8" t="str">
        <x:v>古文／语录</x:v>
      </x:c>
      <x:c r="D78" s="8" t="str">
        <x:v>刘义庆著、刘孝标注、余嘉锡笺疏《世说新语笺疏》</x:v>
      </x:c>
      <x:c r="E78" s="8" t="str">
        <x:v>PDF 620—622</x:v>
      </x:c>
      <x:c r="F78" s="8" t="str">
        <x:v>有鱼，欲寄作脍。</x:v>
      </x:c>
      <x:c r="G78" s="8" t="str">
        <x:v>有鱼，欲寄作脍。</x:v>
      </x:c>
      <x:c r="H78" s="8" t="str">
        <x:v>笺疏辨此人为刘驎之，不是庐山刘程之；只借朴素来往，不倡生食淡水鱼或失礼待客。</x:v>
      </x:c>
      <x:c r="I78" s="8" t="str">
        <x:v>2026-10-29依据用户补充的实际版本核读原文及相关题解／注释。原作转简体，标点作阅读整理；祝酒文字为独立整理。这是古籍中的叙事，不等于所有细节均获独立史实证实。</x:v>
      </x:c>
      <x:c r="J78" s="8" t="str"/>
      <x:c r="K78" s="10" t="n">
        <x:v>2</x:v>
      </x:c>
      <x:c r="L78" s="8" t="str">
        <x:v>桓车骑在荆州，张玄为侍中，使至江陵，路经阳岐村，俄见一人，持半小笼生鱼，径来造船云：“有鱼，欲寄作脍。”张乃维舟而纳之。问其姓字，称是刘遗民。张素闻其名，大相忻待。刘既知张衔命，问：“谢安、王文度并佳不？”张甚欲话言，刘了无停意。既进脍，便去，云：“向得此鱼，观君船上当有脍具，是故来耳。”于是便去。张乃追至刘家，为设酒，殊不清旨。张高其人，不得已而饮之。方共对饮，刘便先起，云：“今正伐荻，不宜久废。”张亦无以留之。</x:v>
      </x:c>
      <x:c r="M78" s="8" t="str">
        <x:v>故事所在条目原文 · 完整条目</x:v>
      </x:c>
      <x:c r="N78" s="8" t="str"/>
    </x:row>
    <x:row r="79" ht="57" customHeight="1">
      <x:c r="A79" s="9" t="str">
        <x:v>r04-story-22</x:v>
      </x:c>
      <x:c r="B79" s="9" t="str">
        <x:v>《世说新语·方正第一则》陈太丘与友期行</x:v>
      </x:c>
      <x:c r="C79" s="9" t="str">
        <x:v>古文／语录</x:v>
      </x:c>
      <x:c r="D79" s="9" t="str">
        <x:v>刘义庆著、刘孝标注、余嘉锡笺疏《世说新语笺疏》</x:v>
      </x:c>
      <x:c r="E79" s="9" t="str">
        <x:v>PDF 243—244</x:v>
      </x:c>
      <x:c r="F79" s="9" t="str">
        <x:v>日中不至，则是无信。</x:v>
      </x:c>
      <x:c r="G79" s="9" t="str">
        <x:v>日中不至，则是无信。</x:v>
      </x:c>
      <x:c r="H79" s="9" t="str">
        <x:v>原条目论信与礼，称太丘为追叙；借重视约定，不在席间点名责备迟到者。</x:v>
      </x:c>
      <x:c r="I79" s="9" t="str">
        <x:v>2026-10-29依据用户补充的实际版本核读原文及相关题解／注释。原作转简体，标点作阅读整理；祝酒文字为独立整理。这是古籍中的叙事，不等于所有细节均获独立史实证实。</x:v>
      </x:c>
      <x:c r="J79" s="9" t="str"/>
      <x:c r="K79" s="11" t="n">
        <x:v>2</x:v>
      </x:c>
      <x:c r="L79" s="9" t="str">
        <x:v>陈太丘与友期行，期日中。过中不至，太丘舍去，去后乃至。元方时年七岁，门外戏。客问元方：“尊君在不？”答曰：“待君久不至，已去。”友人便怒曰：“非人哉！与人期行，相委而去。”元方曰：“君与家君期日中。日中不至，则是无信；对子骂父，则是无礼。”友人惭，下车引之。元方入门不顾。</x:v>
      </x:c>
      <x:c r="M79" s="9" t="str">
        <x:v>故事所在条目原文 · 完整条目</x:v>
      </x:c>
      <x:c r="N79" s="9" t="str"/>
    </x:row>
    <x:row r="80" ht="42" customHeight="1">
      <x:c r="A80" s="8" t="str">
        <x:v>r04-story-23</x:v>
      </x:c>
      <x:c r="B80" s="8" t="str">
        <x:v>《世说新语·简傲第十六则》王子猷过门看竹</x:v>
      </x:c>
      <x:c r="C80" s="8" t="str">
        <x:v>古文／语录</x:v>
      </x:c>
      <x:c r="D80" s="8" t="str">
        <x:v>刘义庆著、刘孝标注、余嘉锡笺疏《世说新语笺疏》</x:v>
      </x:c>
      <x:c r="E80" s="8" t="str">
        <x:v>PDF 641—642</x:v>
      </x:c>
      <x:c r="F80" s="8" t="str">
        <x:v>乃留坐，尽欢而去。</x:v>
      </x:c>
      <x:c r="G80" s="8" t="str">
        <x:v>乃留坐，尽欢而去。</x:v>
      </x:c>
      <x:c r="H80" s="8" t="str">
        <x:v>先看竹未理主人造成尴尬，后留坐；不模仿强留客或登门失礼。</x:v>
      </x:c>
      <x:c r="I80" s="8" t="str">
        <x:v>2026-10-29依据用户补充的实际版本核读原文及相关题解／注释。原作转简体，标点作阅读整理；祝酒文字为独立整理。这是古籍中的叙事，不等于所有细节均获独立史实证实。</x:v>
      </x:c>
      <x:c r="J80" s="8" t="str"/>
      <x:c r="K80" s="10" t="n">
        <x:v>2</x:v>
      </x:c>
      <x:c r="L80" s="8" t="str">
        <x:v>王子猷尝行过吴中，见一士大夫家，极有好竹。主已知子猷当往，乃洒埽设施，在听事坐相待。王肩舆径造竹下，讽啸良久。主已失望，犹冀还当通，遂直欲出门。主人大不堪，便令左右闭门不听出。王更以此赏主人，乃留坐，尽欢而去。</x:v>
      </x:c>
      <x:c r="M80" s="8" t="str">
        <x:v>故事所在条目原文 · 完整条目</x:v>
      </x:c>
      <x:c r="N80" s="8" t="str"/>
    </x:row>
    <x:row r="81" ht="42" customHeight="1">
      <x:c r="A81" s="9" t="str">
        <x:v>r04-story-24</x:v>
      </x:c>
      <x:c r="B81" s="9" t="str">
        <x:v>《世说新语·言语第七十六则》支公放鹤</x:v>
      </x:c>
      <x:c r="C81" s="9" t="str">
        <x:v>古文／语录</x:v>
      </x:c>
      <x:c r="D81" s="9" t="str">
        <x:v>刘义庆著、刘孝标注、余嘉锡笺疏《世说新语笺疏》</x:v>
      </x:c>
      <x:c r="E81" s="9" t="str">
        <x:v>PDF 125—126</x:v>
      </x:c>
      <x:c r="F81" s="9" t="str">
        <x:v>既有凌霄之姿，何肯为人作耳目近玩？</x:v>
      </x:c>
      <x:c r="G81" s="9" t="str">
        <x:v>既有凌霄之姿，何肯为人作耳目近玩？</x:v>
      </x:c>
      <x:c r="H81" s="9" t="str">
        <x:v>所供本原页山名用●标示，不臆补；借尊重天性、不强留之意，不模仿伤害鸟类。</x:v>
      </x:c>
      <x:c r="I81" s="9" t="str">
        <x:v>2026-10-29依据用户补充的实际版本核读原文及相关题解／注释。原作转简体，标点作阅读整理；祝酒文字为独立整理。这是古籍中的叙事，不等于所有细节均获独立史实证实。</x:v>
      </x:c>
      <x:c r="J81" s="9" t="str"/>
      <x:c r="K81" s="11" t="n">
        <x:v>2</x:v>
      </x:c>
      <x:c r="L81" s="9" t="str">
        <x:v>支公好鹤，住剡东●山。有人遗其双鹤，少时翅长欲飞。支意惜之，乃铩其翮。鹤轩翥不复能飞，乃反顾翅，垂头视之，如有懊丧意。林曰：“既有凌霄之姿，何肯为人作耳目近玩？”养令翮成置，使飞去。</x:v>
      </x:c>
      <x:c r="M81" s="9" t="str">
        <x:v>故事所在条目原文 · 完整条目</x:v>
      </x:c>
      <x:c r="N81" s="9" t="str"/>
    </x:row>
    <x:row r="82" ht="132" customHeight="1">
      <x:c r="A82" s="8" t="str">
        <x:v>lanting</x:v>
      </x:c>
      <x:c r="B82" s="8" t="str">
        <x:v>王羲之《兰亭集序》</x:v>
      </x:c>
      <x:c r="C82" s="8" t="str">
        <x:v>原记录未标注</x:v>
      </x:c>
      <x:c r="D82" s="8" t="str">
        <x:v>《祝酒辞全书》</x:v>
      </x:c>
      <x:c r="E82" s="8" t="str">
        <x:v>PDF 464（书内450）</x:v>
      </x:c>
      <x:c r="F82" s="8" t="str">
        <x:v>一觞一咏，亦足以畅叙幽情。</x:v>
      </x:c>
      <x:c r="G82" s="8" t="str"/>
      <x:c r="H82" s="8" t="str">
        <x:v>文章写兰亭雅集，从相聚畅谈转入人生感慨。此处只借一杯一咏、畅叙心意的相聚之乐；全文并非单纯欢宴祝词。</x:v>
      </x:c>
      <x:c r="I82" s="8" t="str">
        <x:v>引句已对照所供原页与古典原作。觞读shāng，指酒杯；幽情指深藏的情思，不专指爱情。正文其余部分独立整理，不预设实际地点、天气或古代仪式。</x:v>
      </x:c>
      <x:c r="J82" s="8" t="str">
        <x:v>https://zh.wikisource.org/wiki/蘭亭集序</x:v>
      </x:c>
      <x:c r="K82" s="10" t="n">
        <x:v>13</x:v>
      </x:c>
      <x:c r="L82" s="8" t="str">
        <x:v>永和九年，岁在癸丑，暮春之初，会于会稽山阴之兰亭，修禊事也。群贤毕至，少长咸集。此地有崇山峻岭，茂林修竹；又有清流激湍，映带左右。引以为流觞曲水，列坐其次。虽无丝竹管弦之盛，一觞一咏，亦足以畅叙幽情。是日也，天朗气清，惠风和畅；仰观宇宙之大，俯察品类之盛；所以游目骋怀，足以极视听之娱，信可乐也。夫人之相与，俯仰一世，或取诸怀抱，悟言一室之内，或因寄所托，放浪形骸之外。虽趣舍万殊，静躁不同，当其欣于所遇，暂得于己，快然自足，不知老之将至。及其所之既倦，情随事迁，感慨系之矣。向之所欣，俯仰之闲已为陈迹，犹不能不以之兴怀；况修短随化，终期于尽。古人云：「死生亦大矣。」岂不痛哉！每览昔人兴感之由，若合一契，未尝不临文嗟悼，不能喻之于怀。固知一死生为虚诞，齐彭殇为妄作。后之视今，亦犹今之视昔，悲夫！故列叙时人，录其所述，虽世殊事异，所以兴怀，其致一也。后之览者，亦将有感于斯文。</x:v>
      </x:c>
      <x:c r="M82" s="8" t="str">
        <x:v>原作全文</x:v>
      </x:c>
      <x:c r="N82" s="8" t="str">
        <x:v>原作按所列电子文本核对，繁体转简体，标点与分段作阅读整理。</x:v>
      </x:c>
    </x:row>
    <x:row r="83" ht="132" customHeight="1">
      <x:c r="A83" s="9" t="str">
        <x:v>lantingMeet</x:v>
      </x:c>
      <x:c r="B83" s="9" t="str">
        <x:v>欣于所遇，珍惜此刻</x:v>
      </x:c>
      <x:c r="C83" s="9" t="str">
        <x:v>原记录未标注</x:v>
      </x:c>
      <x:c r="D83" s="9" t="str">
        <x:v>《祝酒辞全书》表达线索；补核《兰亭集序》</x:v>
      </x:c>
      <x:c r="E83" s="9" t="str">
        <x:v>PDF 464为雅集引文线索；本短句来自另核的原作</x:v>
      </x:c>
      <x:c r="F83" s="9" t="str">
        <x:v>欣于所遇</x:v>
      </x:c>
      <x:c r="G83" s="9" t="str"/>
      <x:c r="H83" s="9" t="str">
        <x:v>原作在相聚和人生变化之间，写人在欣赏所遇之事时的满足。此处转为珍惜初见、从容交谈的祝愿。</x:v>
      </x:c>
      <x:c r="I83" s="9" t="str">
        <x:v>这是沿所供书线索补读原作后选出的短句，未声称该四字在PDF464出现。未替双方预设爱情、承诺或既有关系。</x:v>
      </x:c>
      <x:c r="J83" s="9" t="str">
        <x:v>https://zh.wikisource.org/wiki/蘭亭集序</x:v>
      </x:c>
      <x:c r="K83" s="11" t="n">
        <x:v>9</x:v>
      </x:c>
      <x:c r="L83" s="9" t="str">
        <x:v>永和九年，岁在癸丑，暮春之初，会于会稽山阴之兰亭，修禊事也。群贤毕至，少长咸集。此地有崇山峻岭，茂林修竹；又有清流激湍，映带左右。引以为流觞曲水，列坐其次。虽无丝竹管弦之盛，一觞一咏，亦足以畅叙幽情。是日也，天朗气清，惠风和畅；仰观宇宙之大，俯察品类之盛；所以游目骋怀，足以极视听之娱，信可乐也。夫人之相与，俯仰一世，或取诸怀抱，悟言一室之内，或因寄所托，放浪形骸之外。虽趣舍万殊，静躁不同，当其欣于所遇，暂得于己，快然自足，不知老之将至。及其所之既倦，情随事迁，感慨系之矣。向之所欣，俯仰之闲已为陈迹，犹不能不以之兴怀；况修短随化，终期于尽。古人云：「死生亦大矣。」岂不痛哉！每览昔人兴感之由，若合一契，未尝不临文嗟悼，不能喻之于怀。固知一死生为虚诞，齐彭殇为妄作。后之视今，亦犹今之视昔，悲夫！故列叙时人，录其所述，虽世殊事异，所以兴怀，其致一也。后之览者，亦将有感于斯文。</x:v>
      </x:c>
      <x:c r="M83" s="9" t="str">
        <x:v>原作全文</x:v>
      </x:c>
      <x:c r="N83" s="9" t="str">
        <x:v>原作按所列电子文本核对，繁体转简体，标点与分段作阅读整理。</x:v>
      </x:c>
    </x:row>
    <x:row r="84" ht="42" customHeight="1">
      <x:c r="A84" s="8" t="str">
        <x:v>welcoming</x:v>
      </x:c>
      <x:c r="B84" s="8" t="str">
        <x:v>《论语·学而》</x:v>
      </x:c>
      <x:c r="C84" s="8" t="str">
        <x:v>原记录未标注</x:v>
      </x:c>
      <x:c r="D84" s="8" t="str">
        <x:v>《祝酒辞全书》</x:v>
      </x:c>
      <x:c r="E84" s="8" t="str">
        <x:v>PDF 213（书内199）</x:v>
      </x:c>
      <x:c r="F84" s="8" t="str">
        <x:v>有朋自远方来，不亦乐乎？</x:v>
      </x:c>
      <x:c r="G84" s="8" t="str"/>
      <x:c r="H84" s="8" t="str">
        <x:v>原章谈学习、朋友来访及君子修养。这里取乐于相聚的心意，不要求在座都来自远方，也不把初识写成多年旧交。</x:v>
      </x:c>
      <x:c r="I84" s="8" t="str">
        <x:v>引句已看所供原页，并核《论语》原章；其余祝词为独立整理。</x:v>
      </x:c>
      <x:c r="J84" s="8" t="str">
        <x:v>https://ctext.org/analects/xue-er/zh</x:v>
      </x:c>
      <x:c r="K84" s="10" t="n">
        <x:v>10</x:v>
      </x:c>
      <x:c r="L84" s="8" t="str">
        <x:v>子曰：“学而时习之，不亦说乎？有朋自远方来，不亦乐乎？人不知而不愠，不亦君子乎？”</x:v>
      </x:c>
      <x:c r="M84" s="8" t="str">
        <x:v>所引章原文 · 《学而》第一章</x:v>
      </x:c>
      <x:c r="N84" s="8" t="str">
        <x:v>原作按所列电子文本核对，繁体转简体，标点与分段作阅读整理。</x:v>
      </x:c>
    </x:row>
    <x:row r="85" ht="252" customHeight="1">
      <x:c r="A85" s="9" t="str">
        <x:v>longevity</x:v>
      </x:c>
      <x:c r="B85" s="9" t="str">
        <x:v>《诗经·豳风·七月》</x:v>
      </x:c>
      <x:c r="C85" s="9" t="str">
        <x:v>原记录未标注</x:v>
      </x:c>
      <x:c r="D85" s="9" t="str">
        <x:v>《中国品酒诗话》</x:v>
      </x:c>
      <x:c r="E85" s="9" t="str">
        <x:v>PDF 36（书内16）</x:v>
      </x:c>
      <x:c r="F85" s="9" t="str">
        <x:v>为此春酒，以介眉寿。</x:v>
      </x:c>
      <x:c r="G85" s="9" t="str"/>
      <x:c r="H85" s="9" t="str">
        <x:v>《七月》写农事与一年生活，其中酿酒祝寿。眉寿为长寿的祝愿，不是酒有延寿功效；这里取对长辈的珍重。</x:v>
      </x:c>
      <x:c r="I85" s="9" t="str">
        <x:v>已看所供原页并核原诗。春酒是古代酒意象，酿成季节有不同旧注，祝词不据此推断今天是春天。</x:v>
      </x:c>
      <x:c r="J85" s="9" t="str">
        <x:v>https://zh.wikisource.org/wiki/詩經/七月</x:v>
      </x:c>
      <x:c r="K85" s="11" t="n">
        <x:v>4</x:v>
      </x:c>
      <x:c r="L85" s="9" t="str">
        <x:v>七月流火，九月授衣。一之日觱发，二之日栗烈。
无衣无褐，何以卒岁？三之日于耜，四之日举趾。同我妇子，馌彼南亩。田畯至喜。
七月流火，九月授衣。春日载阳，有鸣仓庚。
女执懿筐，遵彼微行，爰求柔桑。春日迟迟。采蘩祁祁。女心伤悲，殆及公子同归。
七月流火，八月萑苇。蚕月条桑，取彼斧斨。
以伐远扬，猗彼女桑。七月鸣鵙，八月载绩，载玄载黄。我朱孔阳，为公子裳。
四月秀葽，五月鸣蜩，八月其获，十月陨萚。
一之日于貉，取彼狐貍，为公子裘。二之日其同，载缵武功，言私其𫎆，献豜于公。
五月斯螽动股，六月莎鸡振羽，七月在野，八月在宇，
九月在户，十月蟋蟀入我床下。穹窒熏鼠，塞向墐户。嗟我妇子，曰为改岁。入此室处。
六月食郁及薁，七月亨葵及菽，八月剥枣，十月获稻。
为此春酒，以介眉寿。七月食瓜，八月断壶，九月叔苴，采荼薪樗，食我农夫。
九月筑场圃，十月纳禾稼。黍稷重穋，禾麻菽麦。
嗟我农夫，我稼既同，上入执宫功。昼尔于茅，宵尔索绹。亟其乘屋，其始播百谷。
二之日凿冰冲冲，三之日纳于凌阴，四之日其蚤，献羔祭韭。
九月肃霜，十月涤场。朋酒斯飨，曰杀羔羊。跻彼公堂，称彼兕觥。万寿无疆。</x:v>
      </x:c>
      <x:c r="M85" s="9" t="str">
        <x:v>原作全文</x:v>
      </x:c>
      <x:c r="N85" s="9" t="str">
        <x:v>原作按所列电子文本核对，繁体转简体，标点与分段作阅读整理。</x:v>
      </x:c>
    </x:row>
    <x:row r="86" ht="72" customHeight="1">
      <x:c r="A86" s="8" t="str">
        <x:v>bode</x:v>
      </x:c>
      <x:c r="B86" s="8" t="str">
        <x:v>王勃《送杜少府之任蜀州》</x:v>
      </x:c>
      <x:c r="C86" s="8" t="str">
        <x:v>原记录未标注</x:v>
      </x:c>
      <x:c r="D86" s="8" t="str">
        <x:v>《一杯酒醉尽盛唐》</x:v>
      </x:c>
      <x:c r="E86" s="8" t="str">
        <x:v>PDF 126</x:v>
      </x:c>
      <x:c r="F86" s="8" t="str">
        <x:v>海内存知己，天涯若比邻。</x:v>
      </x:c>
      <x:c r="G86" s="8" t="str"/>
      <x:c r="H86" s="8" t="str">
        <x:v>原诗送友人赴任，用知己情谊宽慰离别。这里保留相隔仍相亲的心意，不默认用户也是官员赴任。</x:v>
      </x:c>
      <x:c r="I86" s="8" t="str">
        <x:v>已对照所供原页与原作；篇名有蜀州／蜀川异文，隣转简体为邻。正文为引句后的独立整理。</x:v>
      </x:c>
      <x:c r="J86" s="8" t="str">
        <x:v>https://zh.wikisource.org/wiki/送杜少府之任蜀州</x:v>
      </x:c>
      <x:c r="K86" s="10" t="n">
        <x:v>3</x:v>
      </x:c>
      <x:c r="L86" s="8" t="str">
        <x:v>城阙辅三秦，风烟望五津。
与君离别意，同是宦游人。
海内存知己，天涯若比邻。
无为在歧路，儿女共沾巾。</x:v>
      </x:c>
      <x:c r="M86" s="8" t="str">
        <x:v>原作全文</x:v>
      </x:c>
      <x:c r="N86" s="8" t="str">
        <x:v>“歧”电子文本作“岐”，为异体写法；辅三／俯西、同／俱有异文。</x:v>
      </x:c>
    </x:row>
    <x:row r="87" ht="42" customHeight="1">
      <x:c r="A87" s="9" t="str">
        <x:v>gaoshi</x:v>
      </x:c>
      <x:c r="B87" s="9" t="str">
        <x:v>高适《别董大》其一</x:v>
      </x:c>
      <x:c r="C87" s="9" t="str">
        <x:v>原记录未标注</x:v>
      </x:c>
      <x:c r="D87" s="9" t="str">
        <x:v>《一杯酒醉尽盛唐》</x:v>
      </x:c>
      <x:c r="E87" s="9" t="str">
        <x:v>PDF 125</x:v>
      </x:c>
      <x:c r="F87" s="9" t="str">
        <x:v>莫愁前路无知己</x:v>
      </x:c>
      <x:c r="G87" s="9" t="str"/>
      <x:c r="H87" s="9" t="str">
        <x:v>送别诗以开阔语气慰勉友人。这里引用为鼓励，不承诺对方一定成名或所有人都认识他。</x:v>
      </x:c>
      <x:c r="I87" s="9" t="str">
        <x:v>已对照所供原页与原作。诗中黄云、北风、雪不等于现场天气；其余祝愿独立整理。</x:v>
      </x:c>
      <x:c r="J87" s="9" t="str">
        <x:v>https://zh.wikisource.org/wiki/別董大</x:v>
      </x:c>
      <x:c r="K87" s="11" t="n">
        <x:v>2</x:v>
      </x:c>
      <x:c r="L87" s="9" t="str">
        <x:v>千里黄云白日曛，北风吹雁雪纷纷。
莫愁前路无知己，天下谁人不识君。</x:v>
      </x:c>
      <x:c r="M87" s="9" t="str">
        <x:v>原作全文 · 《别董大》其一</x:v>
      </x:c>
      <x:c r="N87" s="9" t="str">
        <x:v>原作按所列电子文本核对，繁体转简体，标点与分段作阅读整理。</x:v>
      </x:c>
    </x:row>
    <x:row r="88" ht="72" customHeight="1">
      <x:c r="A88" s="8" t="str">
        <x:v>zhang</x:v>
      </x:c>
      <x:c r="B88" s="8" t="str">
        <x:v>张九龄《送韦城李少府》</x:v>
      </x:c>
      <x:c r="C88" s="8" t="str">
        <x:v>原记录未标注</x:v>
      </x:c>
      <x:c r="D88" s="8" t="str">
        <x:v>《诗酒风流赋华章》</x:v>
      </x:c>
      <x:c r="E88" s="8" t="str">
        <x:v>PDF 70（书内69）</x:v>
      </x:c>
      <x:c r="F88" s="8" t="str">
        <x:v>相知无远近，万里尚为邻。</x:v>
      </x:c>
      <x:c r="G88" s="8" t="str"/>
      <x:c r="H88" s="8" t="str">
        <x:v>原诗送别，表达相知不受距离隔断。朋友重逢取此情意；初识只借其开放的心境，不宣称双方已经是知己。</x:v>
      </x:c>
      <x:c r="I88" s="8" t="str">
        <x:v>已对照所供原页与原作。张九龄此句与王勃天涯若比邻分别署名，不混成同一首诗。</x:v>
      </x:c>
      <x:c r="J88" s="8" t="str">
        <x:v>https://zh.wikisource.org/wiki/送韋城李少府</x:v>
      </x:c>
      <x:c r="K88" s="10" t="n">
        <x:v>6</x:v>
      </x:c>
      <x:c r="L88" s="8" t="str">
        <x:v>送客南昌尉，离亭西候春。
野花看欲尽，林鸟听犹新。
别酒青门路，归轩白马津。
相知无远近，万里尚为邻。</x:v>
      </x:c>
      <x:c r="M88" s="8" t="str">
        <x:v>原作全文</x:v>
      </x:c>
      <x:c r="N88" s="8" t="str">
        <x:v>原作按所列电子文本核对，繁体转简体，标点与分段作阅读整理。</x:v>
      </x:c>
    </x:row>
    <x:row r="89" ht="87" customHeight="1">
      <x:c r="A89" s="9" t="str">
        <x:v>practice</x:v>
      </x:c>
      <x:c r="B89" s="9" t="str">
        <x:v>《论语·里仁》：敬贤与笃行</x:v>
      </x:c>
      <x:c r="C89" s="9" t="str">
        <x:v>原记录未标注</x:v>
      </x:c>
      <x:c r="D89" s="9" t="str">
        <x:v>《祝酒辞全书》就职表达方法；补核《论语》原典</x:v>
      </x:c>
      <x:c r="E89" s="9" t="str">
        <x:v>PDF 332—346为身份与自勉结构；引句来自《里仁》第17、24章</x:v>
      </x:c>
      <x:c r="F89" s="9" t="str">
        <x:v>见贤思齐焉。君子欲讷于言而敏于行。</x:v>
      </x:c>
      <x:c r="G89" s="9" t="str"/>
      <x:c r="H89" s="9" t="str">
        <x:v>见到贤者向其学习，并以行动跟上言语。此处用于说话者的自勉，尊重对方同时把重点落回自己的用心。</x:v>
      </x:c>
      <x:c r="I89" s="9" t="str">
        <x:v>两句为补充核对的原典，不声称现代书中含这些字句。正文只选其中一处引用，其余独立整理；不编造领导具体事迹。</x:v>
      </x:c>
      <x:c r="J89" s="9" t="str">
        <x:v>https://zh.wikisource.org/wiki/論語/里仁第四</x:v>
      </x:c>
      <x:c r="K89" s="11" t="n">
        <x:v>8</x:v>
      </x:c>
      <x:c r="L89" s="9" t="str">
        <x:v>《论语·里仁》第十七章
子曰：“见贤思齐焉，见不贤而内自省也。”
《论语·里仁》第二十四章
子曰：“君子欲讷于言而敏于行。”</x:v>
      </x:c>
      <x:c r="M89" s="9" t="str">
        <x:v>所引两章原文 · 完整章</x:v>
      </x:c>
      <x:c r="N89" s="9" t="str">
        <x:v>原作按所列电子文本核对，繁体转简体，标点与分段作阅读整理。</x:v>
      </x:c>
    </x:row>
    <x:row r="90" ht="409" customHeight="1">
      <x:c r="A90" s="8" t="str">
        <x:v>reciprocate</x:v>
      </x:c>
      <x:c r="B90" s="8" t="str">
        <x:v>《诗经·大雅·抑》：投桃报李</x:v>
      </x:c>
      <x:c r="C90" s="8" t="str">
        <x:v>原记录未标注</x:v>
      </x:c>
      <x:c r="D90" s="8" t="str">
        <x:v>《中国品酒诗话》茶酒赠答线索；补核《诗经》</x:v>
      </x:c>
      <x:c r="E90" s="8" t="str">
        <x:v>PDF 230—231为赠答线索；引句来自另核《抑》</x:v>
      </x:c>
      <x:c r="F90" s="8" t="str">
        <x:v>投我以桃，报之以李。</x:v>
      </x:c>
      <x:c r="G90" s="8" t="str"/>
      <x:c r="H90" s="8" t="str">
        <x:v>原诗有自警与劝诫内容，这一句比喻善意的回应。此处用于致谢或回敬，不把它解释成整首诗都写朋友宴饮。</x:v>
      </x:c>
      <x:c r="I90" s="8" t="str">
        <x:v>现代书所引是李正民茶酒赠答诗；本句另核《诗经·抑》，不是李正民原句。其余祝词独立整理，不量化礼物与人情。</x:v>
      </x:c>
      <x:c r="J90" s="8" t="str">
        <x:v>https://zh.wikisource.org/wiki/詩經/抑</x:v>
      </x:c>
      <x:c r="K90" s="10" t="n">
        <x:v>8</x:v>
      </x:c>
      <x:c r="L90" s="8" t="str">
        <x:v>抑抑威仪，维德之隅。人亦有言，靡哲不愚。
庶人之愚，亦职维疾。哲人之愚，亦维斯戾。
无竞维人，四方其训之。有觉德行，四国顺之。
𬣙谟定命，远犹辰告。敬慎威仪，维民之则。
其在于今，兴迷乱于政。颠覆厥德，荒湛于酒。
女虽湛乐从，弗念厥绍；罔敷求先王，克共明刑。
肆皇天弗尚，如彼泉流，无沦胥以亡。
夙兴夜寐，洒埽
庭内，维民之章。
修尔车马，弓矢戎兵，用戒戎作，用逷蛮方。
质尔
民人，谨尔侯度，用戒不虞。
慎尔出话，敬尔威仪，无不柔嘉。
白圭之玷，尚可磨也。斯言之玷，不可为也。
无易由言，无曰苟矣。莫扪朕舌，言不可逝矣。
无言不雠，无德不报。惠于朋友，庶民小子。
子孙绳绳，万民靡不承。
视尔友君子，辑柔尔颜，不遐有愆。
相在尔室，尚不愧于屋漏。无曰不显，莫予云觏。
神之格思，不可度思，矧可射思。
辟尔为德，俾臧俾嘉。淑慎尔止，不愆于仪。
不僭不贼，鲜不为则。
投我以桃，报之以李。彼童而角，实虹小子。
荏染柔木，言缗之丝。温温恭人，维德之基。
其维哲人，告之话言，顺德之行。
其维愚人，覆谓我僭，民各有心。
於乎小子，未知臧否。
匪手携之，言示之事。匪面命之，言提其耳。
借曰未知，亦既抱子。民之靡盈，谁夙知而莫成。
昊天孔昭，我生靡乐。视尔梦梦，我心惨惨。
诲尔谆谆，听我藐藐，匪用为教，覆用为虐。
借曰未知，亦聿既耄。
於乎小子，告尔旧止。
听用我谋，庶无大悔。天方艰难，曰丧厥国。
取譬不远，昊天不忒。回遹其德，俾民大棘。</x:v>
      </x:c>
      <x:c r="M90" s="8" t="str">
        <x:v>原作全文</x:v>
      </x:c>
      <x:c r="N90" s="8" t="str">
        <x:v>原作按所列电子文本核对，繁体转简体，标点与分段作阅读整理。</x:v>
      </x:c>
    </x:row>
    <x:row r="91" ht="42" customHeight="1">
      <x:c r="A91" s="9" t="str">
        <x:v>poem-bai-invite</x:v>
      </x:c>
      <x:c r="B91" s="9" t="str">
        <x:v>白居易《问刘十九》</x:v>
      </x:c>
      <x:c r="C91" s="9" t="str">
        <x:v>古诗</x:v>
      </x:c>
      <x:c r="D91" s="9" t="str">
        <x:v>《诗酒风流赋华章》</x:v>
      </x:c>
      <x:c r="E91" s="9" t="str">
        <x:v>PDF 6、118、202—203</x:v>
      </x:c>
      <x:c r="F91" s="9" t="str">
        <x:v>晚来天欲雪，能饮一杯无？</x:v>
      </x:c>
      <x:c r="G91" s="9" t="str">
        <x:v>晚来天欲雪，能饮一杯无？</x:v>
      </x:c>
      <x:c r="H91" s="9" t="str">
        <x:v>原诗以炉火、新酒和雪意邀友；今天借的是愿意相陪的心意，不预报现场天气。</x:v>
      </x:c>
      <x:c r="I91" s="9" t="str">
        <x:v>2026-10-17对照所列原作／出版机构文本，繁体转简体，标点按现代习惯整理。引句以外为独立编辑；诗中天气、地点和关系不自动等于现场。书页是语料线索，引句另与原作核对。</x:v>
      </x:c>
      <x:c r="J91" s="9" t="str">
        <x:v>https://zh.wikisource.org/wiki/%E5%95%8F%E5%8A%89%E5%8D%81%E4%B9%9D</x:v>
      </x:c>
      <x:c r="K91" s="11" t="n">
        <x:v>2</x:v>
      </x:c>
      <x:c r="L91" s="9" t="str">
        <x:v>绿蚁新醅酒，红泥小火炉。
晚来天欲雪，能饮一杯无？</x:v>
      </x:c>
      <x:c r="M91" s="9" t="str">
        <x:v>原作全文</x:v>
      </x:c>
      <x:c r="N91" s="9" t="str">
        <x:v>“绿蚁”在所核电子文本作“绿螘”，同指新酒浮沫；展示用通行写法。</x:v>
      </x:c>
    </x:row>
    <x:row r="92" ht="42" customHeight="1">
      <x:c r="A92" s="8" t="str">
        <x:v>poem-bai-fire</x:v>
      </x:c>
      <x:c r="B92" s="8" t="str">
        <x:v>白居易《问刘十九》</x:v>
      </x:c>
      <x:c r="C92" s="8" t="str">
        <x:v>古诗</x:v>
      </x:c>
      <x:c r="D92" s="8" t="str">
        <x:v>《诗酒风流赋华章》</x:v>
      </x:c>
      <x:c r="E92" s="8" t="str">
        <x:v>PDF 6</x:v>
      </x:c>
      <x:c r="F92" s="8" t="str">
        <x:v>绿蚁新醅酒，红泥小火炉。</x:v>
      </x:c>
      <x:c r="G92" s="8" t="str">
        <x:v>绿蚁新醅酒，红泥小火炉。</x:v>
      </x:c>
      <x:c r="H92" s="8" t="str">
        <x:v>绿蚁是新酿酒表面的浮沫；原诗小炉邀饮，取朴素款待的暖意，不把今天酒种说成唐代新醅。</x:v>
      </x:c>
      <x:c r="I92" s="8" t="str">
        <x:v>2026-10-17对照所列原作／出版机构文本，繁体转简体，标点按现代习惯整理。引句以外为独立编辑；诗中天气、地点和关系不自动等于现场。书页是语料线索，引句另与原作核对。</x:v>
      </x:c>
      <x:c r="J92" s="8" t="str">
        <x:v>https://zh.wikisource.org/wiki/%E5%95%8F%E5%8A%89%E5%8D%81%E4%B9%9D</x:v>
      </x:c>
      <x:c r="K92" s="10" t="n">
        <x:v>1</x:v>
      </x:c>
      <x:c r="L92" s="8" t="str">
        <x:v>绿蚁新醅酒，红泥小火炉。
晚来天欲雪，能饮一杯无？</x:v>
      </x:c>
      <x:c r="M92" s="8" t="str">
        <x:v>原作全文</x:v>
      </x:c>
      <x:c r="N92" s="8" t="str">
        <x:v>“绿蚁”在所核电子文本作“绿螘”，同指新酒浮沫；展示用通行写法。</x:v>
      </x:c>
    </x:row>
    <x:row r="93" ht="42" customHeight="1">
      <x:c r="A93" s="9" t="str">
        <x:v>poem-su-cupmoon</x:v>
      </x:c>
      <x:c r="B93" s="9" t="str">
        <x:v>苏轼《月夜与客饮酒杏花下》</x:v>
      </x:c>
      <x:c r="C93" s="9" t="str">
        <x:v>古诗</x:v>
      </x:c>
      <x:c r="D93" s="9" t="str">
        <x:v>《诗酒风流赋华章》</x:v>
      </x:c>
      <x:c r="E93" s="9" t="str">
        <x:v>PDF 228</x:v>
      </x:c>
      <x:c r="F93" s="9" t="str">
        <x:v>山城薄酒不堪饮，劝君且吸杯中月。</x:v>
      </x:c>
      <x:c r="G93" s="9" t="str">
        <x:v>山城薄酒不堪饮，劝君且吸杯中月。</x:v>
      </x:c>
      <x:c r="H93" s="9" t="str">
        <x:v>原诗把月光写进酒杯，以想象增添雅兴；不是评价今天酒差，也不要求客人饮尽。</x:v>
      </x:c>
      <x:c r="I93" s="9" t="str">
        <x:v>2026-10-17对照所列原作／出版机构文本，繁体转简体，标点按现代习惯整理。引句以外为独立编辑；诗中天气、地点和关系不自动等于现场。书页是语料线索，引句另与原作核对。</x:v>
      </x:c>
      <x:c r="J93" s="9" t="str">
        <x:v>https://zh.wikisource.org/wiki/%E6%9C%88%E5%A4%9C%E8%88%87%E5%AE%A2%E9%A3%B2%E9%85%92%E6%9D%8F%E8%8A%B1%E4%B8%8B</x:v>
      </x:c>
      <x:c r="K93" s="11" t="n">
        <x:v>2</x:v>
      </x:c>
      <x:c r="L93" s="9" t="str">
        <x:v>杏花飞帘散余春，明月入户寻幽人。褰衣步月踏花影，炯如流水涵青苹。花间置酒清香发，争挽长条落香雪。山城薄酒不堪饮，劝君且吸杯中月。洞箫声断月明中，惟忧月落酒杯空。明朝卷地春风恶，但见绿叶栖残红。</x:v>
      </x:c>
      <x:c r="M93" s="9" t="str">
        <x:v>原作全文</x:v>
      </x:c>
      <x:c r="N93" s="9" t="str">
        <x:v>原作按所列电子文本核对，繁体转简体，标点与分段作阅读整理。</x:v>
      </x:c>
    </x:row>
    <x:row r="94" ht="42" customHeight="1">
      <x:c r="A94" s="8" t="str">
        <x:v>poem-su-flower</x:v>
      </x:c>
      <x:c r="B94" s="8" t="str">
        <x:v>苏轼《月夜与客饮酒杏花下》</x:v>
      </x:c>
      <x:c r="C94" s="8" t="str">
        <x:v>古诗</x:v>
      </x:c>
      <x:c r="D94" s="8" t="str">
        <x:v>自主补充收录</x:v>
      </x:c>
      <x:c r="E94" s="8" t="str">
        <x:v>原作电子文本</x:v>
      </x:c>
      <x:c r="F94" s="8" t="str">
        <x:v>花间置酒清香发，争挽长条落香雪。</x:v>
      </x:c>
      <x:c r="G94" s="8" t="str">
        <x:v>花间置酒清香发，争挽长条落香雪。</x:v>
      </x:c>
      <x:c r="H94" s="8" t="str">
        <x:v>诗中花间设酒、挽枝落花；取待客有兴味，不声称现场有杏花或雪。</x:v>
      </x:c>
      <x:c r="I94" s="8" t="str">
        <x:v>2026-10-17对照所列原作／出版机构文本，繁体转简体，标点按现代习惯整理。引句以外为独立编辑；诗中天气、地点和关系不自动等于现场。此条为主动补充，未声称出自用户所供PDF。</x:v>
      </x:c>
      <x:c r="J94" s="8" t="str">
        <x:v>https://zh.wikisource.org/wiki/%E6%9C%88%E5%A4%9C%E8%88%87%E5%AE%A2%E9%A3%B2%E9%85%92%E6%9D%8F%E8%8A%B1%E4%B8%8B</x:v>
      </x:c>
      <x:c r="K94" s="10" t="n">
        <x:v>1</x:v>
      </x:c>
      <x:c r="L94" s="8" t="str">
        <x:v>杏花飞帘散余春，明月入户寻幽人。褰衣步月踏花影，炯如流水涵青苹。花间置酒清香发，争挽长条落香雪。山城薄酒不堪饮，劝君且吸杯中月。洞箫声断月明中，惟忧月落酒杯空。明朝卷地春风恶，但见绿叶栖残红。</x:v>
      </x:c>
      <x:c r="M94" s="8" t="str">
        <x:v>原作全文</x:v>
      </x:c>
      <x:c r="N94" s="8" t="str">
        <x:v>原作按所列电子文本核对，繁体转简体，标点与分段作阅读整理。</x:v>
      </x:c>
    </x:row>
    <x:row r="95" ht="132" customHeight="1">
      <x:c r="A95" s="9" t="str">
        <x:v>poem-li-askmoon</x:v>
      </x:c>
      <x:c r="B95" s="9" t="str">
        <x:v>李白《把酒问月》</x:v>
      </x:c>
      <x:c r="C95" s="9" t="str">
        <x:v>古诗</x:v>
      </x:c>
      <x:c r="D95" s="9" t="str">
        <x:v>《诗酒风流赋华章》</x:v>
      </x:c>
      <x:c r="E95" s="9" t="str">
        <x:v>PDF 175</x:v>
      </x:c>
      <x:c r="F95" s="9" t="str">
        <x:v>唯愿当歌对酒时，月光长照金樽里。</x:v>
      </x:c>
      <x:c r="G95" s="9" t="str">
        <x:v>唯愿当歌对酒时，月光长照金樽里。</x:v>
      </x:c>
      <x:c r="H95" s="9" t="str">
        <x:v>原诗从问月想到古今人生；取珍惜相聚的愿望，不宣称杯中真有月影。</x:v>
      </x:c>
      <x:c r="I95" s="9" t="str">
        <x:v>2026-10-17对照所列原作／出版机构文本，繁体转简体，标点按现代习惯整理。引句以外为独立编辑；诗中天气、地点和关系不自动等于现场。书页是语料线索，引句另与原作核对。</x:v>
      </x:c>
      <x:c r="J95" s="9" t="str">
        <x:v>https://zh.wikisource.org/wiki/%E6%8A%8A%E9%85%92%E5%95%8F%E6%9C%88</x:v>
      </x:c>
      <x:c r="K95" s="11" t="n">
        <x:v>2</x:v>
      </x:c>
      <x:c r="L95" s="9" t="str">
        <x:v>青天有月来几时？我今停杯一问之。
人攀明月不可得，月行却与人相随。
皎如飞镜临丹阙，绿烟灭尽清辉发。
但见宵从海上来，宁知晓向云间没？
白兔捣药秋复春，姮娥孤栖与谁邻？
今人不见古时月，今月曾经照古人。
古人今人若流水，共看明月皆如此。
唯愿当歌对酒时，月光长照金樽里。</x:v>
      </x:c>
      <x:c r="M95" s="9" t="str">
        <x:v>原作全文</x:v>
      </x:c>
      <x:c r="N95" s="9" t="str">
        <x:v>原作按所列电子文本核对，繁体转简体，标点与分段作阅读整理。</x:v>
      </x:c>
    </x:row>
    <x:row r="96" ht="132" customHeight="1">
      <x:c r="A96" s="8" t="str">
        <x:v>poem-li-followmoon</x:v>
      </x:c>
      <x:c r="B96" s="8" t="str">
        <x:v>李白《把酒问月》</x:v>
      </x:c>
      <x:c r="C96" s="8" t="str">
        <x:v>古诗</x:v>
      </x:c>
      <x:c r="D96" s="8" t="str">
        <x:v>自主补充收录</x:v>
      </x:c>
      <x:c r="E96" s="8" t="str">
        <x:v>原作电子文本</x:v>
      </x:c>
      <x:c r="F96" s="8" t="str">
        <x:v>人攀明月不可得，月行却与人相随。</x:v>
      </x:c>
      <x:c r="G96" s="8" t="str">
        <x:v>人攀明月不可得，月行却与人相随。</x:v>
      </x:c>
      <x:c r="H96" s="8" t="str">
        <x:v>诗里写月不可攀却与人相随；此处转为相伴的祝愿，不把原诗说成家庭诗。</x:v>
      </x:c>
      <x:c r="I96" s="8" t="str">
        <x:v>2026-10-17对照所列原作／出版机构文本，繁体转简体，标点按现代习惯整理。引句以外为独立编辑；诗中天气、地点和关系不自动等于现场。此条为主动补充，未声称出自用户所供PDF。</x:v>
      </x:c>
      <x:c r="J96" s="8" t="str">
        <x:v>https://zh.wikisource.org/wiki/%E6%8A%8A%E9%85%92%E5%95%8F%E6%9C%88</x:v>
      </x:c>
      <x:c r="K96" s="10" t="n">
        <x:v>1</x:v>
      </x:c>
      <x:c r="L96" s="8" t="str">
        <x:v>青天有月来几时？我今停杯一问之。
人攀明月不可得，月行却与人相随。
皎如飞镜临丹阙，绿烟灭尽清辉发。
但见宵从海上来，宁知晓向云间没？
白兔捣药秋复春，姮娥孤栖与谁邻？
今人不见古时月，今月曾经照古人。
古人今人若流水，共看明月皆如此。
唯愿当歌对酒时，月光长照金樽里。</x:v>
      </x:c>
      <x:c r="M96" s="8" t="str">
        <x:v>原作全文</x:v>
      </x:c>
      <x:c r="N96" s="8" t="str">
        <x:v>原作按所列电子文本核对，繁体转简体，标点与分段作阅读整理。</x:v>
      </x:c>
    </x:row>
    <x:row r="97" ht="57" customHeight="1">
      <x:c r="A97" s="9" t="str">
        <x:v>poem-li-spring</x:v>
      </x:c>
      <x:c r="B97" s="9" t="str">
        <x:v>李白《春夜宴从弟桃花园序》</x:v>
      </x:c>
      <x:c r="C97" s="9" t="str">
        <x:v>古文／语录</x:v>
      </x:c>
      <x:c r="D97" s="9" t="str">
        <x:v>《诗酒风流赋华章》</x:v>
      </x:c>
      <x:c r="E97" s="9" t="str">
        <x:v>PDF 14；另核原序</x:v>
      </x:c>
      <x:c r="F97" s="9" t="str">
        <x:v>开琼筵以坐花，飞羽觞而醉月。</x:v>
      </x:c>
      <x:c r="G97" s="9" t="str">
        <x:v>开琼筵以坐花，飞羽觞而醉月。</x:v>
      </x:c>
      <x:c r="H97" s="9" t="str">
        <x:v>原作是与从弟春夜宴聚的序文；取雅兴与相伴，不搬用罚酒规则，不将散文计为古诗。</x:v>
      </x:c>
      <x:c r="I97" s="9" t="str">
        <x:v>2026-10-17对照所列原作／出版机构文本，繁体转简体，标点按现代习惯整理。引句以外为独立编辑；诗中天气、地点和关系不自动等于现场。书页是语料线索，引句另与原作核对。</x:v>
      </x:c>
      <x:c r="J97" s="9" t="str">
        <x:v>https://zh.wikisource.org/wiki/%E6%98%A5%E5%A4%9C%E5%AE%B4%E5%BE%9E%E5%BC%9F%E6%A1%83%E8%8A%B1%E5%9C%92%E5%BA%8F</x:v>
      </x:c>
      <x:c r="K97" s="11" t="n">
        <x:v>1</x:v>
      </x:c>
      <x:c r="L97" s="9" t="str">
        <x:v>夫天地者，万物之逆旅也；光阴者，百代之过客也。而浮生若梦，为欢几何？古人秉烛夜游，良有以也。
况阳春召我以烟景，大块假我以文章。会桃花之芳园，序天伦之乐事。群季俊秀，皆为惠连；吾人咏歌，独惭康乐。
幽赏未已，高谈转清。开琼筵以坐花，飞羽觞而醉月。不有佳咏，何伸雅怀？如诗不成，罚依金谷酒数。</x:v>
      </x:c>
      <x:c r="M97" s="9" t="str">
        <x:v>原作全文</x:v>
      </x:c>
      <x:c r="N97" s="9" t="str">
        <x:v>原作按所列电子文本核对，繁体转简体，标点与分段作阅读整理。</x:v>
      </x:c>
    </x:row>
    <x:row r="98" ht="42" customHeight="1">
      <x:c r="A98" s="8" t="str">
        <x:v>poem-li-mountain</x:v>
      </x:c>
      <x:c r="B98" s="8" t="str">
        <x:v>李白《山中与幽人对酌》</x:v>
      </x:c>
      <x:c r="C98" s="8" t="str">
        <x:v>古诗</x:v>
      </x:c>
      <x:c r="D98" s="8" t="str">
        <x:v>自主补充收录</x:v>
      </x:c>
      <x:c r="E98" s="8" t="str">
        <x:v>原作电子文本</x:v>
      </x:c>
      <x:c r="F98" s="8" t="str">
        <x:v>我醉欲眠卿且去，明朝有意抱琴来。</x:v>
      </x:c>
      <x:c r="G98" s="8" t="str">
        <x:v>我醉欲眠卿且去，明朝有意抱琴来。</x:v>
      </x:c>
      <x:c r="H98" s="8" t="str">
        <x:v>原诗写朋友间不拘礼数的自在；只借明日再来的亲近，不以喝醉或困倦作为程序判断。</x:v>
      </x:c>
      <x:c r="I98" s="8" t="str">
        <x:v>2026-10-17对照所列原作／出版机构文本，繁体转简体，标点按现代习惯整理。引句以外为独立编辑；诗中天气、地点和关系不自动等于现场。此条为主动补充，未声称出自用户所供PDF。</x:v>
      </x:c>
      <x:c r="J98" s="8" t="str">
        <x:v>https://zh.wikisource.org/wiki/%E5%B1%B1%E4%B8%AD%E8%88%87%E5%B9%BD%E4%BA%BA%E5%B0%8D%E9%85%8C</x:v>
      </x:c>
      <x:c r="K98" s="10" t="n">
        <x:v>1</x:v>
      </x:c>
      <x:c r="L98" s="8" t="str">
        <x:v>两人对酌山花开，一杯一杯复一杯。
我醉欲眠卿且去，明朝有意抱琴来。</x:v>
      </x:c>
      <x:c r="M98" s="8" t="str">
        <x:v>原作全文</x:v>
      </x:c>
      <x:c r="N98" s="8" t="str">
        <x:v>原作按所列电子文本核对，繁体转简体，标点与分段作阅读整理。</x:v>
      </x:c>
    </x:row>
    <x:row r="99" ht="117" customHeight="1">
      <x:c r="A99" s="9" t="str">
        <x:v>poem-li-rest</x:v>
      </x:c>
      <x:c r="B99" s="9" t="str">
        <x:v>李白《下终南山过斛斯山人宿置酒》</x:v>
      </x:c>
      <x:c r="C99" s="9" t="str">
        <x:v>古诗</x:v>
      </x:c>
      <x:c r="D99" s="9" t="str">
        <x:v>《诗酒风流赋华章》</x:v>
      </x:c>
      <x:c r="E99" s="9" t="str">
        <x:v>PDF 169</x:v>
      </x:c>
      <x:c r="F99" s="9" t="str">
        <x:v>欢言得所憩，美酒聊共挥。</x:v>
      </x:c>
      <x:c r="G99" s="9" t="str">
        <x:v>欢言得所憩，美酒聊共挥。</x:v>
      </x:c>
      <x:c r="H99" s="9" t="str">
        <x:v>原诗写山行后受到款待；取能歇下来交谈的自在，不预设今日赶路、登山或饮酒量。</x:v>
      </x:c>
      <x:c r="I99" s="9" t="str">
        <x:v>2026-10-17对照所列原作／出版机构文本，繁体转简体，标点按现代习惯整理。引句以外为独立编辑；诗中天气、地点和关系不自动等于现场。书页是语料线索，引句另与原作核对。</x:v>
      </x:c>
      <x:c r="J99" s="9" t="str">
        <x:v>https://zh.wikisource.org/wiki/%E4%B8%8B%E7%B5%82%E5%8D%97%E5%B1%B1%E9%81%8E%E6%96%9B%E6%96%AF%E5%B1%B1%E4%BA%BA%E5%AE%BF%E7%BD%AE%E9%85%92</x:v>
      </x:c>
      <x:c r="K99" s="11" t="n">
        <x:v>2</x:v>
      </x:c>
      <x:c r="L99" s="9" t="str">
        <x:v>暮从碧山下，山月随人归。
却顾所来径，苍苍横翠微。
相携及田家，童稚开荆扉。
绿竹入幽径，青萝拂行衣。
欢言得所憩，美酒聊共挥。
长歌吟松风，曲尽河星稀。
我醉君复乐，陶然共忘机。</x:v>
      </x:c>
      <x:c r="M99" s="9" t="str">
        <x:v>原作全文</x:v>
      </x:c>
      <x:c r="N99" s="9" t="str">
        <x:v>原作按所列电子文本核对，繁体转简体，标点与分段作阅读整理。</x:v>
      </x:c>
    </x:row>
    <x:row r="100" ht="117" customHeight="1">
      <x:c r="A100" s="8" t="str">
        <x:v>poem-li-stars</x:v>
      </x:c>
      <x:c r="B100" s="8" t="str">
        <x:v>李白《下终南山过斛斯山人宿置酒》</x:v>
      </x:c>
      <x:c r="C100" s="8" t="str">
        <x:v>古诗</x:v>
      </x:c>
      <x:c r="D100" s="8" t="str">
        <x:v>自主补充收录</x:v>
      </x:c>
      <x:c r="E100" s="8" t="str">
        <x:v>原作电子文本</x:v>
      </x:c>
      <x:c r="F100" s="8" t="str">
        <x:v>长歌吟松风，曲尽河星稀。</x:v>
      </x:c>
      <x:c r="G100" s="8" t="str">
        <x:v>长歌吟松风，曲尽河星稀。</x:v>
      </x:c>
      <x:c r="H100" s="8" t="str">
        <x:v>原诗欢聚长歌直至星稀；取交谈投缘，不要求熬夜、不把诗中星空当现场。</x:v>
      </x:c>
      <x:c r="I100" s="8" t="str">
        <x:v>2026-10-17对照所列原作／出版机构文本，繁体转简体，标点按现代习惯整理。引句以外为独立编辑；诗中天气、地点和关系不自动等于现场。此条为主动补充，未声称出自用户所供PDF。</x:v>
      </x:c>
      <x:c r="J100" s="8" t="str">
        <x:v>https://zh.wikisource.org/wiki/%E4%B8%8B%E7%B5%82%E5%8D%97%E5%B1%B1%E9%81%8E%E6%96%9B%E6%96%AF%E5%B1%B1%E4%BA%BA%E5%AE%BF%E7%BD%AE%E9%85%92</x:v>
      </x:c>
      <x:c r="K100" s="10" t="n">
        <x:v>1</x:v>
      </x:c>
      <x:c r="L100" s="8" t="str">
        <x:v>暮从碧山下，山月随人归。
却顾所来径，苍苍横翠微。
相携及田家，童稚开荆扉。
绿竹入幽径，青萝拂行衣。
欢言得所憩，美酒聊共挥。
长歌吟松风，曲尽河星稀。
我醉君复乐，陶然共忘机。</x:v>
      </x:c>
      <x:c r="M100" s="8" t="str">
        <x:v>原作全文</x:v>
      </x:c>
      <x:c r="N100" s="8" t="str">
        <x:v>原作按所列电子文本核对，繁体转简体，标点与分段作阅读整理。</x:v>
      </x:c>
    </x:row>
    <x:row r="101" ht="42" customHeight="1">
      <x:c r="A101" s="9" t="str">
        <x:v>poem-wang-lake</x:v>
      </x:c>
      <x:c r="B101" s="9" t="str">
        <x:v>王维《临湖亭》</x:v>
      </x:c>
      <x:c r="C101" s="9" t="str">
        <x:v>古诗</x:v>
      </x:c>
      <x:c r="D101" s="9" t="str">
        <x:v>《诗酒风流赋华章》</x:v>
      </x:c>
      <x:c r="E101" s="9" t="str">
        <x:v>PDF 96</x:v>
      </x:c>
      <x:c r="F101" s="9" t="str">
        <x:v>当轩对尊酒，四面芙蓉开。</x:v>
      </x:c>
      <x:c r="G101" s="9" t="str">
        <x:v>当轩对尊酒，四面芙蓉开。</x:v>
      </x:c>
      <x:c r="H101" s="9" t="str">
        <x:v>原诗湖亭迎客赏荷；尊为酒器，取好客与雅兴，不虚构现场湖亭和花景。</x:v>
      </x:c>
      <x:c r="I101" s="9" t="str">
        <x:v>2026-10-17对照所列原作／出版机构文本，繁体转简体，标点按现代习惯整理。引句以外为独立编辑；诗中天气、地点和关系不自动等于现场。书页是语料线索，引句另与原作核对。</x:v>
      </x:c>
      <x:c r="J101" s="9" t="str">
        <x:v>https://zh.wikisource.org/wiki/%E8%BC%9E%E5%B7%9D%E9%9B%86_(%E7%8E%8B%E7%B6%AD)%2F%E8%87%A8%E6%B9%96%E4%BA%AD</x:v>
      </x:c>
      <x:c r="K101" s="11" t="n">
        <x:v>1</x:v>
      </x:c>
      <x:c r="L101" s="9" t="str">
        <x:v>轻舸迎上客，悠悠湖上来。
当轩对尊酒，四面芙蓉开。</x:v>
      </x:c>
      <x:c r="M101" s="9" t="str">
        <x:v>原作全文</x:v>
      </x:c>
      <x:c r="N101" s="9" t="str">
        <x:v>原作按所列电子文本核对，繁体转简体，标点与分段作阅读整理。</x:v>
      </x:c>
    </x:row>
    <x:row r="102" ht="42" customHeight="1">
      <x:c r="A102" s="8" t="str">
        <x:v>poem-wang-welcome</x:v>
      </x:c>
      <x:c r="B102" s="8" t="str">
        <x:v>王维《临湖亭》</x:v>
      </x:c>
      <x:c r="C102" s="8" t="str">
        <x:v>古诗</x:v>
      </x:c>
      <x:c r="D102" s="8" t="str">
        <x:v>自主补充收录</x:v>
      </x:c>
      <x:c r="E102" s="8" t="str">
        <x:v>原作电子文本</x:v>
      </x:c>
      <x:c r="F102" s="8" t="str">
        <x:v>轻舸迎上客，悠悠湖上来。</x:v>
      </x:c>
      <x:c r="G102" s="8" t="str">
        <x:v>轻舸迎上客，悠悠湖上来。</x:v>
      </x:c>
      <x:c r="H102" s="8" t="str">
        <x:v>上客指贵客；借迎客的郑重表达主人的用心，不说今天乘船而来。</x:v>
      </x:c>
      <x:c r="I102" s="8" t="str">
        <x:v>2026-10-17对照所列原作／出版机构文本，繁体转简体，标点按现代习惯整理。引句以外为独立编辑；诗中天气、地点和关系不自动等于现场。此条为主动补充，未声称出自用户所供PDF。</x:v>
      </x:c>
      <x:c r="J102" s="8" t="str">
        <x:v>https://zh.wikisource.org/wiki/%E8%BC%9E%E5%B7%9D%E9%9B%86_(%E7%8E%8B%E7%B6%AD)%2F%E8%87%A8%E6%B9%96%E4%BA%AD</x:v>
      </x:c>
      <x:c r="K102" s="10" t="n">
        <x:v>1</x:v>
      </x:c>
      <x:c r="L102" s="8" t="str">
        <x:v>轻舸迎上客，悠悠湖上来。
当轩对尊酒，四面芙蓉开。</x:v>
      </x:c>
      <x:c r="M102" s="8" t="str">
        <x:v>原作全文</x:v>
      </x:c>
      <x:c r="N102" s="8" t="str">
        <x:v>原作按所列电子文本核对，繁体转简体，标点与分段作阅读整理。</x:v>
      </x:c>
    </x:row>
    <x:row r="103" ht="102" customHeight="1">
      <x:c r="A103" s="9" t="str">
        <x:v>poem-meng-ninth</x:v>
      </x:c>
      <x:c r="B103" s="9" t="str">
        <x:v>孟浩然《秋登兰山寄张五》</x:v>
      </x:c>
      <x:c r="C103" s="9" t="str">
        <x:v>古诗</x:v>
      </x:c>
      <x:c r="D103" s="9" t="str">
        <x:v>《诗酒风流赋华章》</x:v>
      </x:c>
      <x:c r="E103" s="9" t="str">
        <x:v>PDF 101</x:v>
      </x:c>
      <x:c r="F103" s="9" t="str">
        <x:v>何当载酒来，共醉重阳节。</x:v>
      </x:c>
      <x:c r="G103" s="9" t="str">
        <x:v>何当载酒来，共醉重阳节。</x:v>
      </x:c>
      <x:c r="H103" s="9" t="str">
        <x:v>原诗盼友人来同过重阳；取相约重聚，不把共醉转为必须喝醉。</x:v>
      </x:c>
      <x:c r="I103" s="9" t="str">
        <x:v>2026-10-17对照所列原作／出版机构文本，繁体转简体，标点按现代习惯整理。引句以外为独立编辑；诗中天气、地点和关系不自动等于现场。书页是语料线索，引句另与原作核对。</x:v>
      </x:c>
      <x:c r="J103" s="9" t="str">
        <x:v>https://zh.wikisource.org/wiki/%E7%A7%8B%E7%99%BB%E8%98%AD%E5%B1%B1%E5%AF%84%E5%BC%B5%E4%BA%94</x:v>
      </x:c>
      <x:c r="K103" s="11" t="n">
        <x:v>1</x:v>
      </x:c>
      <x:c r="L103" s="9" t="str">
        <x:v>北山白云里，隐者自怡悦。
相望试登高，心飞逐鸟灭。
愁因薄暮起，兴是清秋发。
时见归村人，沙行渡头歇。
天边树若荠，江畔舟如月。
何当载酒来，共醉重阳节。</x:v>
      </x:c>
      <x:c r="M103" s="9" t="str">
        <x:v>原作全文</x:v>
      </x:c>
      <x:c r="N103" s="9" t="str">
        <x:v>原作按所列电子文本核对，繁体转简体，标点与分段作阅读整理。</x:v>
      </x:c>
    </x:row>
    <x:row r="104" ht="72" customHeight="1">
      <x:c r="A104" s="8" t="str">
        <x:v>poem-du-guest</x:v>
      </x:c>
      <x:c r="B104" s="8" t="str">
        <x:v>杜甫《客至》</x:v>
      </x:c>
      <x:c r="C104" s="8" t="str">
        <x:v>古诗</x:v>
      </x:c>
      <x:c r="D104" s="8" t="str">
        <x:v>《一杯酒醉尽盛唐》</x:v>
      </x:c>
      <x:c r="E104" s="8" t="str">
        <x:v>PDF 56—57</x:v>
      </x:c>
      <x:c r="F104" s="8" t="str">
        <x:v>花径不曾缘客扫，蓬门今始为君开。</x:v>
      </x:c>
      <x:c r="G104" s="8" t="str">
        <x:v>花径不曾缘客扫，蓬门今始为君开。</x:v>
      </x:c>
      <x:c r="H104" s="8" t="str">
        <x:v>原诗主人因友人来访而欣喜；借郑重欢迎，不预设家贫，不贬低今天的饭菜。</x:v>
      </x:c>
      <x:c r="I104" s="8" t="str">
        <x:v>2026-10-17对照所列原作／出版机构文本，繁体转简体，标点按现代习惯整理。引句以外为独立编辑；诗中天气、地点和关系不自动等于现场。书页是语料线索，引句另与原作核对。</x:v>
      </x:c>
      <x:c r="J104" s="8" t="str">
        <x:v>https://zh.wikisource.org/wiki/%E5%AE%A2%E8%87%B3</x:v>
      </x:c>
      <x:c r="K104" s="10" t="n">
        <x:v>1</x:v>
      </x:c>
      <x:c r="L104" s="8" t="str">
        <x:v>舍南舍北皆春水，但见群鸥日日来。
花径不曾缘客扫，蓬门今始为君开。
盘飧市远无兼味，樽酒家贫只旧醅。
肯与邻翁相对饮，隔篱呼取尽余杯。</x:v>
      </x:c>
      <x:c r="M104" s="8" t="str">
        <x:v>原作全文</x:v>
      </x:c>
      <x:c r="N104" s="8" t="str">
        <x:v>原作按所列电子文本核对，繁体转简体，标点与分段作阅读整理。</x:v>
      </x:c>
    </x:row>
    <x:row r="105" ht="192" customHeight="1">
      <x:c r="A105" s="9" t="str">
        <x:v>poem-du-lamplight</x:v>
      </x:c>
      <x:c r="B105" s="9" t="str">
        <x:v>杜甫《赠卫八处士》</x:v>
      </x:c>
      <x:c r="C105" s="9" t="str">
        <x:v>古诗</x:v>
      </x:c>
      <x:c r="D105" s="9" t="str">
        <x:v>《诗酒风流赋华章》</x:v>
      </x:c>
      <x:c r="E105" s="9" t="str">
        <x:v>PDF 18、186</x:v>
      </x:c>
      <x:c r="F105" s="9" t="str">
        <x:v>今夕复何夕，共此灯烛光。</x:v>
      </x:c>
      <x:c r="G105" s="9" t="str">
        <x:v>今夕复何夕，共此灯烛光。</x:v>
      </x:c>
      <x:c r="H105" s="9" t="str">
        <x:v>原诗久别重逢，兼有岁月感慨；此处只借同灯相坐的珍惜，不编造二十年未见。</x:v>
      </x:c>
      <x:c r="I105" s="9" t="str">
        <x:v>2026-10-17对照所列原作／出版机构文本，繁体转简体，标点按现代习惯整理。引句以外为独立编辑；诗中天气、地点和关系不自动等于现场。书页是语料线索，引句另与原作核对。</x:v>
      </x:c>
      <x:c r="J105" s="9" t="str">
        <x:v>https://zh.wikisource.org/wiki/%E8%B4%88%E8%A1%9B%E5%85%AB%E8%99%95%E5%A3%AB</x:v>
      </x:c>
      <x:c r="K105" s="11" t="n">
        <x:v>3</x:v>
      </x:c>
      <x:c r="L105" s="9" t="str">
        <x:v>人生不相见，动如参与商。
今夕复何夕，共此灯烛光。
少壮能几时，鬓发各已苍。
访旧半为鬼，惊呼热中肠。
焉知二十载，重上君子堂。
昔别君未婚，儿女忽成行。
怡然敬父执，问我来何方。
问答乃未已，驱儿罗酒浆。
夜雨翦春韭，新炊间黄粱。
主称会面难，一举累十觞。
十觞亦不醉，感子故意长。
明日隔山岳，世事两茫茫。</x:v>
      </x:c>
      <x:c r="M105" s="9" t="str">
        <x:v>原作全文</x:v>
      </x:c>
      <x:c r="N105" s="9" t="str">
        <x:v>原作按所列电子文本核对，繁体转简体，标点与分段作阅读整理。</x:v>
      </x:c>
    </x:row>
    <x:row r="106" ht="192" customHeight="1">
      <x:c r="A106" s="8" t="str">
        <x:v>poem-du-meal</x:v>
      </x:c>
      <x:c r="B106" s="8" t="str">
        <x:v>杜甫《赠卫八处士》</x:v>
      </x:c>
      <x:c r="C106" s="8" t="str">
        <x:v>古诗</x:v>
      </x:c>
      <x:c r="D106" s="8" t="str">
        <x:v>自主补充收录</x:v>
      </x:c>
      <x:c r="E106" s="8" t="str">
        <x:v>原作电子文本</x:v>
      </x:c>
      <x:c r="F106" s="8" t="str">
        <x:v>夜雨翦春韭，新炊间黄粱。</x:v>
      </x:c>
      <x:c r="G106" s="8" t="str">
        <x:v>夜雨翦春韭，新炊间黄粱。</x:v>
      </x:c>
      <x:c r="H106" s="8" t="str">
        <x:v>翦通剪，间为掺入；诗中家常饭菜表达久别待客。借饭里心意，不声称现场下雨。</x:v>
      </x:c>
      <x:c r="I106" s="8" t="str">
        <x:v>2026-10-17对照所列原作／出版机构文本，繁体转简体，标点按现代习惯整理。引句以外为独立编辑；诗中天气、地点和关系不自动等于现场。此条为主动补充，未声称出自用户所供PDF。</x:v>
      </x:c>
      <x:c r="J106" s="8" t="str">
        <x:v>https://zh.wikisource.org/wiki/%E8%B4%88%E8%A1%9B%E5%85%AB%E8%99%95%E5%A3%AB</x:v>
      </x:c>
      <x:c r="K106" s="10" t="n">
        <x:v>1</x:v>
      </x:c>
      <x:c r="L106" s="8" t="str">
        <x:v>人生不相见，动如参与商。
今夕复何夕，共此灯烛光。
少壮能几时，鬓发各已苍。
访旧半为鬼，惊呼热中肠。
焉知二十载，重上君子堂。
昔别君未婚，儿女忽成行。
怡然敬父执，问我来何方。
问答乃未已，驱儿罗酒浆。
夜雨翦春韭，新炊间黄粱。
主称会面难，一举累十觞。
十觞亦不醉，感子故意长。
明日隔山岳，世事两茫茫。</x:v>
      </x:c>
      <x:c r="M106" s="8" t="str">
        <x:v>原作全文</x:v>
      </x:c>
      <x:c r="N106" s="8" t="str">
        <x:v>原作按所列电子文本核对，繁体转简体，标点与分段作阅读整理。</x:v>
      </x:c>
    </x:row>
    <x:row r="107" ht="72" customHeight="1">
      <x:c r="A107" s="9" t="str">
        <x:v>poem-bai-next</x:v>
      </x:c>
      <x:c r="B107" s="9" t="str">
        <x:v>白居易《与梦得沽酒闲饮，且约后期》</x:v>
      </x:c>
      <x:c r="C107" s="9" t="str">
        <x:v>古诗</x:v>
      </x:c>
      <x:c r="D107" s="9" t="str">
        <x:v>《诗酒风流赋华章》</x:v>
      </x:c>
      <x:c r="E107" s="9" t="str">
        <x:v>PDF 63</x:v>
      </x:c>
      <x:c r="F107" s="9" t="str">
        <x:v>更待菊黄家酝熟，共君一醉一陶然。</x:v>
      </x:c>
      <x:c r="G107" s="9" t="str">
        <x:v>更待菊黄家酝熟，共君一醉一陶然。</x:v>
      </x:c>
      <x:c r="H107" s="9" t="str">
        <x:v>原诗与刘禹锡闲饮并约下次；取把再会放在心上的亲近，醉字是诗意，不作饮量要求。</x:v>
      </x:c>
      <x:c r="I107" s="9" t="str">
        <x:v>2026-10-17对照所列原作／出版机构文本，繁体转简体，标点按现代习惯整理。引句以外为独立编辑；诗中天气、地点和关系不自动等于现场。书页是语料线索，引句另与原作核对。</x:v>
      </x:c>
      <x:c r="J107" s="9" t="str">
        <x:v>https://zh.wikisource.org/wiki/%E8%88%87%E5%A4%A2%E5%BE%97%E6%B2%BD%E9%85%92%E9%96%91%E9%A3%B2%EF%BC%8C%E4%B8%94%E7%B4%84%E5%BE%8C%E6%9C%9F</x:v>
      </x:c>
      <x:c r="K107" s="11" t="n">
        <x:v>1</x:v>
      </x:c>
      <x:c r="L107" s="9" t="str">
        <x:v>少时犹不忧生计，老后谁能惜酒钱。
共把十千沽一斗，相看七十欠三年。
闲征雅令穷经史，醉听清吟胜管弦。
更待菊黄家酝熟，共君一醉一陶然。</x:v>
      </x:c>
      <x:c r="M107" s="9" t="str">
        <x:v>原作全文</x:v>
      </x:c>
      <x:c r="N107" s="9" t="str">
        <x:v>原作按所列电子文本核对，繁体转简体，标点与分段作阅读整理。</x:v>
      </x:c>
    </x:row>
    <x:row r="108" ht="72" customHeight="1">
      <x:c r="A108" s="8" t="str">
        <x:v>poem-bai-history</x:v>
      </x:c>
      <x:c r="B108" s="8" t="str">
        <x:v>白居易《与梦得沽酒闲饮，且约后期》</x:v>
      </x:c>
      <x:c r="C108" s="8" t="str">
        <x:v>古诗</x:v>
      </x:c>
      <x:c r="D108" s="8" t="str">
        <x:v>自主补充收录</x:v>
      </x:c>
      <x:c r="E108" s="8" t="str">
        <x:v>原作电子文本</x:v>
      </x:c>
      <x:c r="F108" s="8" t="str">
        <x:v>闲征雅令穷经史，醉听清吟胜管弦。</x:v>
      </x:c>
      <x:c r="G108" s="8" t="str">
        <x:v>闲征雅令穷经史，醉听清吟胜管弦。</x:v>
      </x:c>
      <x:c r="H108" s="8" t="str">
        <x:v>原诗朋友以经史作雅令、以诗助兴；取交谈见闻的趣味，不要求背书作诗或饮醉。</x:v>
      </x:c>
      <x:c r="I108" s="8" t="str">
        <x:v>2026-10-17对照所列原作／出版机构文本，繁体转简体，标点按现代习惯整理。引句以外为独立编辑；诗中天气、地点和关系不自动等于现场。此条为主动补充，未声称出自用户所供PDF。</x:v>
      </x:c>
      <x:c r="J108" s="8" t="str">
        <x:v>https://zh.wikisource.org/wiki/%E8%88%87%E5%A4%A2%E5%BE%97%E6%B2%BD%E9%85%92%E9%96%91%E9%A3%B2%EF%BC%8C%E4%B8%94%E7%B4%84%E5%BE%8C%E6%9C%9F</x:v>
      </x:c>
      <x:c r="K108" s="10" t="n">
        <x:v>2</x:v>
      </x:c>
      <x:c r="L108" s="8" t="str">
        <x:v>少时犹不忧生计，老后谁能惜酒钱。
共把十千沽一斗，相看七十欠三年。
闲征雅令穷经史，醉听清吟胜管弦。
更待菊黄家酝熟，共君一醉一陶然。</x:v>
      </x:c>
      <x:c r="M108" s="8" t="str">
        <x:v>原作全文</x:v>
      </x:c>
      <x:c r="N108" s="8" t="str">
        <x:v>原作按所列电子文本核对，繁体转简体，标点与分段作阅读整理。</x:v>
      </x:c>
    </x:row>
    <x:row r="109" ht="72" customHeight="1">
      <x:c r="A109" s="9" t="str">
        <x:v>poem-bai-city</x:v>
      </x:c>
      <x:c r="B109" s="9" t="str">
        <x:v>白居易《江楼夕望招客》</x:v>
      </x:c>
      <x:c r="C109" s="9" t="str">
        <x:v>古诗</x:v>
      </x:c>
      <x:c r="D109" s="9" t="str">
        <x:v>自主补充收录</x:v>
      </x:c>
      <x:c r="E109" s="9" t="str">
        <x:v>原作电子文本</x:v>
      </x:c>
      <x:c r="F109" s="9" t="str">
        <x:v>灯火万家城四畔，星河一道水中央。</x:v>
      </x:c>
      <x:c r="G109" s="9" t="str">
        <x:v>灯火万家城四畔，星河一道水中央。</x:v>
      </x:c>
      <x:c r="H109" s="9" t="str">
        <x:v>诗中登楼招客，灯火与星河交映；借灯火中的相聚，不将江楼景色当今天实景。</x:v>
      </x:c>
      <x:c r="I109" s="9" t="str">
        <x:v>2026-10-17对照所列原作／出版机构文本，繁体转简体，标点按现代习惯整理。引句以外为独立编辑；诗中天气、地点和关系不自动等于现场。此条为主动补充，未声称出自用户所供PDF。</x:v>
      </x:c>
      <x:c r="J109" s="9" t="str">
        <x:v>https://zh.wikisource.org/wiki/%E6%B1%9F%E6%A8%93%E5%A4%95%E6%9C%9B%E6%8B%9B%E5%AE%A2</x:v>
      </x:c>
      <x:c r="K109" s="11" t="n">
        <x:v>1</x:v>
      </x:c>
      <x:c r="L109" s="9" t="str">
        <x:v>海天东望夕茫茫，山势川形阔复长。
灯火万家城四畔，星河一道水中央。
风吹古木晴天雨，月照平沙夏夜霜。
能就江楼销暑否，比君茅舍较清凉。</x:v>
      </x:c>
      <x:c r="M109" s="9" t="str">
        <x:v>原作全文</x:v>
      </x:c>
      <x:c r="N109" s="9" t="str">
        <x:v>原作按所列电子文本核对，繁体转简体，标点与分段作阅读整理。</x:v>
      </x:c>
    </x:row>
    <x:row r="110" ht="72" customHeight="1">
      <x:c r="A110" s="8" t="str">
        <x:v>poem-bai-moonfriend</x:v>
      </x:c>
      <x:c r="B110" s="8" t="str">
        <x:v>白居易《八月十五日夜禁中独直对月忆元九》</x:v>
      </x:c>
      <x:c r="C110" s="8" t="str">
        <x:v>古诗</x:v>
      </x:c>
      <x:c r="D110" s="8" t="str">
        <x:v>自主补充收录</x:v>
      </x:c>
      <x:c r="E110" s="8" t="str">
        <x:v>原作电子文本</x:v>
      </x:c>
      <x:c r="F110" s="8" t="str">
        <x:v>三五夜中新月色，二千里外故人心。</x:v>
      </x:c>
      <x:c r="G110" s="8" t="str">
        <x:v>三五夜中新月色，二千里外故人心。</x:v>
      </x:c>
      <x:c r="H110" s="8" t="str">
        <x:v>三五指十五，原诗中秋独直思友，也担心友人遇阴天；月圆是节日意象，不断言现场见月。</x:v>
      </x:c>
      <x:c r="I110" s="8" t="str">
        <x:v>2026-10-17对照所列原作／出版机构文本，繁体转简体，标点按现代习惯整理。引句以外为独立编辑；诗中天气、地点和关系不自动等于现场。此条为主动补充，未声称出自用户所供PDF。</x:v>
      </x:c>
      <x:c r="J110" s="8" t="str">
        <x:v>https://zh.wikisource.org/wiki/%E5%85%AB%E6%9C%88%E5%8D%81%E4%BA%94%E6%97%A5%E5%A4%9C%E7%A6%81%E4%B8%AD%E7%8D%A8%E7%9B%B4%E5%B0%8D%E6%9C%88%E6%86%B6%E5%85%83%E4%B9%9D</x:v>
      </x:c>
      <x:c r="K110" s="10" t="n">
        <x:v>2</x:v>
      </x:c>
      <x:c r="L110" s="8" t="str">
        <x:v>银台金阙夕沈沈，独宿相思在翰林。
三五夜中新月色，二千里外故人心。
渚宫东面烟波冷，浴殿西头钟漏深。
犹恐清光不同见，江陵卑湿足秋阴。</x:v>
      </x:c>
      <x:c r="M110" s="8" t="str">
        <x:v>原作全文</x:v>
      </x:c>
      <x:c r="N110" s="8" t="str">
        <x:v>原作按所列电子文本核对，繁体转简体，标点与分段作阅读整理。</x:v>
      </x:c>
    </x:row>
    <x:row r="111" ht="72" customHeight="1">
      <x:c r="A111" s="9" t="str">
        <x:v>poem-wei-reunion</x:v>
      </x:c>
      <x:c r="B111" s="9" t="str">
        <x:v>韦应物《淮上喜会梁川故人》</x:v>
      </x:c>
      <x:c r="C111" s="9" t="str">
        <x:v>古诗</x:v>
      </x:c>
      <x:c r="D111" s="9" t="str">
        <x:v>《一杯酒醉尽盛唐》</x:v>
      </x:c>
      <x:c r="E111" s="9" t="str">
        <x:v>PDF 118</x:v>
      </x:c>
      <x:c r="F111" s="9" t="str">
        <x:v>欢笑情如旧</x:v>
      </x:c>
      <x:c r="G111" s="9" t="str">
        <x:v>欢笑情如旧</x:v>
      </x:c>
      <x:c r="H111" s="9" t="str">
        <x:v>原诗重逢有岁月与鬓斑之感；只引欢笑如旧，不替大家设定年岁或十年未见。</x:v>
      </x:c>
      <x:c r="I111" s="9" t="str">
        <x:v>2026-10-17对照所列原作／出版机构文本，繁体转简体，标点按现代习惯整理。引句以外为独立编辑；诗中天气、地点和关系不自动等于现场。书页是语料线索，引句另与原作核对。</x:v>
      </x:c>
      <x:c r="J111" s="9" t="str">
        <x:v>https://zh.wikisource.org/wiki/%E6%B7%AE%E4%B8%8A%E5%96%9C%E6%9C%83%E6%A2%81%E5%B7%9D%E6%95%85%E4%BA%BA</x:v>
      </x:c>
      <x:c r="K111" s="11" t="n">
        <x:v>1</x:v>
      </x:c>
      <x:c r="L111" s="9" t="str">
        <x:v>江汉曾为客，相逢每醉还。
浮云一别后，流水十年间。
欢笑情如旧，萧疏鬓已斑。
何因北归去，淮上对秋山。</x:v>
      </x:c>
      <x:c r="M111" s="9" t="str">
        <x:v>原作全文</x:v>
      </x:c>
      <x:c r="N111" s="9" t="str">
        <x:v>采用所列电子文本正文“北归去”；另有“不归去”异文，篇名梁川亦作梁州。</x:v>
      </x:c>
    </x:row>
    <x:row r="112" ht="72" customHeight="1">
      <x:c r="A112" s="8" t="str">
        <x:v>poem-wei-kindness</x:v>
      </x:c>
      <x:c r="B112" s="8" t="str">
        <x:v>韦应物《寄全椒山中道士》</x:v>
      </x:c>
      <x:c r="C112" s="8" t="str">
        <x:v>古诗</x:v>
      </x:c>
      <x:c r="D112" s="8" t="str">
        <x:v>自主补充收录</x:v>
      </x:c>
      <x:c r="E112" s="8" t="str">
        <x:v>原作电子文本</x:v>
      </x:c>
      <x:c r="F112" s="8" t="str">
        <x:v>欲持一瓢酒，远慰风雨夕。</x:v>
      </x:c>
      <x:c r="G112" s="8" t="str">
        <x:v>欲持一瓢酒，远慰风雨夕。</x:v>
      </x:c>
      <x:c r="H112" s="8" t="str">
        <x:v>原诗惦念山中友人，想携酒慰问；借牵挂与关心，不判断对方正遇困境或把酒当疗愈。</x:v>
      </x:c>
      <x:c r="I112" s="8" t="str">
        <x:v>2026-10-17对照所列原作／出版机构文本，繁体转简体，标点按现代习惯整理。引句以外为独立编辑；诗中天气、地点和关系不自动等于现场。此条为主动补充，未声称出自用户所供PDF。</x:v>
      </x:c>
      <x:c r="J112" s="8" t="str">
        <x:v>https://zh.wikisource.org/wiki/%E5%AF%84%E5%85%A8%E6%A4%92%E5%B1%B1%E4%B8%AD%E9%81%93%E5%A3%AB</x:v>
      </x:c>
      <x:c r="K112" s="10" t="n">
        <x:v>2</x:v>
      </x:c>
      <x:c r="L112" s="8" t="str">
        <x:v>今朝郡斋冷，忽念山中客。
涧底束荆薪，归来煮白石。
欲持一瓢酒，远慰风雨夕。
落叶满空山，何处寻行迹。</x:v>
      </x:c>
      <x:c r="M112" s="8" t="str">
        <x:v>原作全文</x:v>
      </x:c>
      <x:c r="N112" s="8" t="str">
        <x:v>原作按所列电子文本核对，繁体转简体，标点与分段作阅读整理。</x:v>
      </x:c>
    </x:row>
    <x:row r="113" ht="42" customHeight="1">
      <x:c r="A113" s="9" t="str">
        <x:v>poem-qian-tea</x:v>
      </x:c>
      <x:c r="B113" s="9" t="str">
        <x:v>钱起《与赵莒茶宴》</x:v>
      </x:c>
      <x:c r="C113" s="9" t="str">
        <x:v>古诗</x:v>
      </x:c>
      <x:c r="D113" s="9" t="str">
        <x:v>自主补充收录</x:v>
      </x:c>
      <x:c r="E113" s="9" t="str">
        <x:v>清华大学出版社公开试读文本</x:v>
      </x:c>
      <x:c r="F113" s="9" t="str">
        <x:v>竹下忘言对紫茶，全胜羽客醉流霞。</x:v>
      </x:c>
      <x:c r="G113" s="9" t="str">
        <x:v>竹下忘言对紫茶，全胜羽客醉流霞。</x:v>
      </x:c>
      <x:c r="H113" s="9" t="str">
        <x:v>原诗写茶宴的清趣；取以茶相聚也能有兴致，不比较饮品高低，也不声称有仙人。</x:v>
      </x:c>
      <x:c r="I113" s="9" t="str">
        <x:v>2026-10-17对照所列原作／出版机构文本，繁体转简体，标点按现代习惯整理。引句以外为独立编辑；诗中天气、地点和关系不自动等于现场。此条为主动补充，未声称出自用户所供PDF。</x:v>
      </x:c>
      <x:c r="J113" s="9" t="str">
        <x:v>https://www.tup.tsinghua.edu.cn/upload/books/yz/089682-01.pdf</x:v>
      </x:c>
      <x:c r="K113" s="11" t="n">
        <x:v>3</x:v>
      </x:c>
      <x:c r="L113" s="9" t="str">
        <x:v>竹下忘言对紫茶，全胜羽客醉流霞。
尘心洗尽兴难尽，一树蝉声片影斜。</x:v>
      </x:c>
      <x:c r="M113" s="9" t="str">
        <x:v>原作全文</x:v>
      </x:c>
      <x:c r="N113" s="9" t="str">
        <x:v>古诗原文补核；原出处所列教材链接未检索到此诗，全文另核古文岛《与赵莒茶宴》，不将补核内容归给该教材。</x:v>
      </x:c>
    </x:row>
    <x:row r="114" ht="72" customHeight="1">
      <x:c r="A114" s="8" t="str">
        <x:v>poem-liu-renew</x:v>
      </x:c>
      <x:c r="B114" s="8" t="str">
        <x:v>刘禹锡《酬乐天扬州初逢席上见赠》</x:v>
      </x:c>
      <x:c r="C114" s="8" t="str">
        <x:v>古诗</x:v>
      </x:c>
      <x:c r="D114" s="8" t="str">
        <x:v>自主补充收录</x:v>
      </x:c>
      <x:c r="E114" s="8" t="str">
        <x:v>原作电子文本</x:v>
      </x:c>
      <x:c r="F114" s="8" t="str">
        <x:v>今日听君歌一曲，暂凭杯酒长精神。</x:v>
      </x:c>
      <x:c r="G114" s="8" t="str">
        <x:v>今日听君歌一曲，暂凭杯酒长精神。</x:v>
      </x:c>
      <x:c r="H114" s="8" t="str">
        <x:v>原诗回应白居易对坎坷经历的关切；取朋友交谈给予精神支持，不说酒有提神疗效。</x:v>
      </x:c>
      <x:c r="I114" s="8" t="str">
        <x:v>2026-10-17对照所列原作／出版机构文本，繁体转简体，标点按现代习惯整理。引句以外为独立编辑；诗中天气、地点和关系不自动等于现场。此条为主动补充，未声称出自用户所供PDF。</x:v>
      </x:c>
      <x:c r="J114" s="8" t="str">
        <x:v>https://zh.wikisource.org/wiki/%E9%85%AC%E6%A8%82%E5%A4%A9%E6%8F%9A%E5%B7%9E%E5%88%9D%E9%80%A2%E5%B8%AD%E4%B8%8A%E8%A6%8B%E8%B4%88</x:v>
      </x:c>
      <x:c r="K114" s="10" t="n">
        <x:v>1</x:v>
      </x:c>
      <x:c r="L114" s="8" t="str">
        <x:v>巴山楚水凄凉地，二十三年弃置身。
怀旧空吟闻笛赋，到乡翻似烂柯人。
沉舟侧畔千帆过，病树前头万木春。
今日听君歌一曲，暂凭杯酒长精神。</x:v>
      </x:c>
      <x:c r="M114" s="8" t="str">
        <x:v>原作全文</x:v>
      </x:c>
      <x:c r="N114" s="8" t="str">
        <x:v>原作按所列电子文本核对，繁体转简体，标点与分段作阅读整理。</x:v>
      </x:c>
    </x:row>
    <x:row r="115" ht="42" customHeight="1">
      <x:c r="A115" s="9" t="str">
        <x:v>poem-wang-same</x:v>
      </x:c>
      <x:c r="B115" s="9" t="str">
        <x:v>王昌龄《送柴侍御》</x:v>
      </x:c>
      <x:c r="C115" s="9" t="str">
        <x:v>古诗</x:v>
      </x:c>
      <x:c r="D115" s="9" t="str">
        <x:v>自主补充收录</x:v>
      </x:c>
      <x:c r="E115" s="9" t="str">
        <x:v>原作电子文本</x:v>
      </x:c>
      <x:c r="F115" s="9" t="str">
        <x:v>青山一道同云雨，明月何曾是两乡。</x:v>
      </x:c>
      <x:c r="G115" s="9" t="str">
        <x:v>青山一道同云雨，明月何曾是两乡。</x:v>
      </x:c>
      <x:c r="H115" s="9" t="str">
        <x:v>送别诗以共在云雨月光之中宽慰友人；借相隔仍相亲，不预设赴任。</x:v>
      </x:c>
      <x:c r="I115" s="9" t="str">
        <x:v>2026-10-17对照所列原作／出版机构文本，繁体转简体，标点按现代习惯整理。引句以外为独立编辑；诗中天气、地点和关系不自动等于现场。此条为主动补充，未声称出自用户所供PDF。</x:v>
      </x:c>
      <x:c r="J115" s="9" t="str">
        <x:v>https://zh.wikisource.org/wiki/%E9%80%81%E6%9F%B4%E4%BE%8D%E5%BE%A1</x:v>
      </x:c>
      <x:c r="K115" s="11" t="n">
        <x:v>1</x:v>
      </x:c>
      <x:c r="L115" s="9" t="str">
        <x:v>流水通波接武冈，送君不觉有离伤。
青山一道同云雨，明月何曾是两乡。</x:v>
      </x:c>
      <x:c r="M115" s="9" t="str">
        <x:v>原作全文</x:v>
      </x:c>
      <x:c r="N115" s="9" t="str">
        <x:v>原作按所列电子文本核对，繁体转简体，标点与分段作阅读整理。</x:v>
      </x:c>
    </x:row>
    <x:row r="116" ht="42" customHeight="1">
      <x:c r="A116" s="8" t="str">
        <x:v>poem-cen-joke</x:v>
      </x:c>
      <x:c r="B116" s="8" t="str">
        <x:v>岑参《戏问花门酒家翁》</x:v>
      </x:c>
      <x:c r="C116" s="8" t="str">
        <x:v>古诗</x:v>
      </x:c>
      <x:c r="D116" s="8" t="str">
        <x:v>《中国品酒诗话》</x:v>
      </x:c>
      <x:c r="E116" s="8" t="str">
        <x:v>PDF 102—103为榆钱沽酒线索</x:v>
      </x:c>
      <x:c r="F116" s="8" t="str">
        <x:v>道傍榆荚仍似钱，摘来沽酒君肯否？</x:v>
      </x:c>
      <x:c r="G116" s="8" t="str">
        <x:v>道傍榆荚仍似钱，摘来沽酒君肯否？</x:v>
      </x:c>
      <x:c r="H116" s="8" t="str">
        <x:v>诗人把榆荚比作钱，向酒家翁打趣；借想象的幽默，不冒称今天赊账或未付饭钱。</x:v>
      </x:c>
      <x:c r="I116" s="8" t="str">
        <x:v>2026-10-17对照所列原作／出版机构文本，繁体转简体，标点按现代习惯整理。引句以外为独立编辑；诗中天气、地点和关系不自动等于现场。书页是语料线索，引句另与原作核对。</x:v>
      </x:c>
      <x:c r="J116" s="8" t="str">
        <x:v>https://zh.wikisource.org/wiki/%E6%88%B2%E5%95%8F%E8%8A%B1%E9%96%80%E9%85%92%E5%AE%B6%E7%BF%81</x:v>
      </x:c>
      <x:c r="K116" s="10" t="n">
        <x:v>1</x:v>
      </x:c>
      <x:c r="L116" s="8" t="str">
        <x:v>老人七十仍沽酒，千壶百瓮花门口。
道傍榆荚仍似钱，摘来沽酒君肯否？</x:v>
      </x:c>
      <x:c r="M116" s="8" t="str">
        <x:v>原作全文</x:v>
      </x:c>
      <x:c r="N116" s="8" t="str">
        <x:v>原作按所列电子文本核对，繁体转简体，标点与分段作阅读整理。</x:v>
      </x:c>
    </x:row>
    <x:row r="117" ht="42" customHeight="1">
      <x:c r="A117" s="9" t="str">
        <x:v>poem-li-flower</x:v>
      </x:c>
      <x:c r="B117" s="9" t="str">
        <x:v>李商隐《花下醉》</x:v>
      </x:c>
      <x:c r="C117" s="9" t="str">
        <x:v>古诗</x:v>
      </x:c>
      <x:c r="D117" s="9" t="str">
        <x:v>自主补充收录</x:v>
      </x:c>
      <x:c r="E117" s="9" t="str">
        <x:v>原作电子文本</x:v>
      </x:c>
      <x:c r="F117" s="9" t="str">
        <x:v>更持红烛赏残花。</x:v>
      </x:c>
      <x:c r="G117" s="9" t="str">
        <x:v>更持红烛赏残花。</x:v>
      </x:c>
      <x:c r="H117" s="9" t="str">
        <x:v>原诗客散酒醒后仍赏花，既有留恋也有余兴；此处取珍惜眼前，不鼓励深夜独饮或说这是纯欢乐诗。</x:v>
      </x:c>
      <x:c r="I117" s="9" t="str">
        <x:v>2026-10-17对照所列原作／出版机构文本，繁体转简体，标点按现代习惯整理。引句以外为独立编辑；诗中天气、地点和关系不自动等于现场。此条为主动补充，未声称出自用户所供PDF。</x:v>
      </x:c>
      <x:c r="J117" s="9" t="str">
        <x:v>https://zh.wikisource.org/wiki/%E8%8A%B1%E4%B8%8B%E9%86%89</x:v>
      </x:c>
      <x:c r="K117" s="11" t="n">
        <x:v>1</x:v>
      </x:c>
      <x:c r="L117" s="9" t="str">
        <x:v>寻芳不觉醉流霞，倚树沉眠日已斜。
客散酒醒深夜后，更持红烛赏残花。</x:v>
      </x:c>
      <x:c r="M117" s="9" t="str">
        <x:v>原作全文</x:v>
      </x:c>
      <x:c r="N117" s="9" t="str">
        <x:v>原作按所列电子文本核对，繁体转简体，标点与分段作阅读整理。</x:v>
      </x:c>
    </x:row>
    <x:row r="118" ht="72" customHeight="1">
      <x:c r="A118" s="8" t="str">
        <x:v>poem-du-ninth</x:v>
      </x:c>
      <x:c r="B118" s="8" t="str">
        <x:v>杜牧《九日齐山登高》</x:v>
      </x:c>
      <x:c r="C118" s="8" t="str">
        <x:v>古诗</x:v>
      </x:c>
      <x:c r="D118" s="8" t="str">
        <x:v>《中国品酒诗话》</x:v>
      </x:c>
      <x:c r="E118" s="8" t="str">
        <x:v>PDF 180</x:v>
      </x:c>
      <x:c r="F118" s="8" t="str">
        <x:v>尘世难逢开口笑，菊花须插满头归。</x:v>
      </x:c>
      <x:c r="G118" s="8" t="str">
        <x:v>尘世难逢开口笑，菊花须插满头归。</x:v>
      </x:c>
      <x:c r="H118" s="8" t="str">
        <x:v>原诗重阳登高自宽，兼有时光感慨；只借开怀与珍惜，不沿用酩酊要求。</x:v>
      </x:c>
      <x:c r="I118" s="8" t="str">
        <x:v>2026-10-17对照所列原作／出版机构文本，繁体转简体，标点按现代习惯整理。引句以外为独立编辑；诗中天气、地点和关系不自动等于现场。书页是语料线索，引句另与原作核对。</x:v>
      </x:c>
      <x:c r="J118" s="8" t="str">
        <x:v>https://zh.wikisource.org/wiki/%E4%B9%9D%E6%97%A5%E9%BD%8A%E5%B1%B1%E7%99%BB%E9%AB%98</x:v>
      </x:c>
      <x:c r="K118" s="10" t="n">
        <x:v>1</x:v>
      </x:c>
      <x:c r="L118" s="8" t="str">
        <x:v>江涵秋影雁初飞，与客携壶上翠微。
尘世难逢开口笑，菊花须插满头归。
但将酩酊酬佳节，不用登临恨落晖。
古往今来只如此，牛山何必独沾衣？</x:v>
      </x:c>
      <x:c r="M118" s="8" t="str">
        <x:v>原作全文</x:v>
      </x:c>
      <x:c r="N118" s="8" t="str">
        <x:v>原作按所列电子文本核对，繁体转简体，标点与分段作阅读整理。</x:v>
      </x:c>
    </x:row>
    <x:row r="119" ht="102" customHeight="1">
      <x:c r="A119" s="9" t="str">
        <x:v>poem-tao-reading</x:v>
      </x:c>
      <x:c r="B119" s="9" t="str">
        <x:v>陶渊明《移居二首·其一》</x:v>
      </x:c>
      <x:c r="C119" s="9" t="str">
        <x:v>古诗</x:v>
      </x:c>
      <x:c r="D119" s="9" t="str">
        <x:v>自主补充收录</x:v>
      </x:c>
      <x:c r="E119" s="9" t="str">
        <x:v>原作电子文本</x:v>
      </x:c>
      <x:c r="F119" s="9" t="str">
        <x:v>奇文共欣赏，疑义相与析。</x:v>
      </x:c>
      <x:c r="G119" s="9" t="str">
        <x:v>奇文共欣赏，疑义相与析。</x:v>
      </x:c>
      <x:c r="H119" s="9" t="str">
        <x:v>原诗写移居后与邻里谈论文章；取各有所见、共同讨论，不把不同意见变成席间考问。</x:v>
      </x:c>
      <x:c r="I119" s="9" t="str">
        <x:v>2026-10-17对照所列原作／出版机构文本，繁体转简体，标点按现代习惯整理。引句以外为独立编辑；诗中天气、地点和关系不自动等于现场。此条为主动补充，未声称出自用户所供PDF。</x:v>
      </x:c>
      <x:c r="J119" s="9" t="str">
        <x:v>https://zh.wikisource.org/wiki/%E7%A7%BB%E5%B1%85%E4%BA%8C%E9%A6%96</x:v>
      </x:c>
      <x:c r="K119" s="11" t="n">
        <x:v>2</x:v>
      </x:c>
      <x:c r="L119" s="9" t="str">
        <x:v>昔欲居南村，非为卜其宅。
闻多素心人，乐与数晨夕。
怀此颇有年，今日从兹役。
敞庐何必广，取足蔽床席。
邻曲时时来，抗言谈在昔。
奇文共欣赏，疑义相与析。</x:v>
      </x:c>
      <x:c r="M119" s="9" t="str">
        <x:v>原作全文 · 《移居二首》其一</x:v>
      </x:c>
      <x:c r="N119" s="9" t="str">
        <x:v>原作按所列电子文本核对，繁体转简体，标点与分段作阅读整理。</x:v>
      </x:c>
    </x:row>
    <x:row r="120" ht="102" customHeight="1">
      <x:c r="A120" s="8" t="str">
        <x:v>poem-tao-neighbor</x:v>
      </x:c>
      <x:c r="B120" s="8" t="str">
        <x:v>陶渊明《移居二首·其二》</x:v>
      </x:c>
      <x:c r="C120" s="8" t="str">
        <x:v>古诗</x:v>
      </x:c>
      <x:c r="D120" s="8" t="str">
        <x:v>自主补充收录</x:v>
      </x:c>
      <x:c r="E120" s="8" t="str">
        <x:v>原作电子文本</x:v>
      </x:c>
      <x:c r="F120" s="8" t="str">
        <x:v>过门更相呼，有酒斟酌之。</x:v>
      </x:c>
      <x:c r="G120" s="8" t="str">
        <x:v>过门更相呼，有酒斟酌之。</x:v>
      </x:c>
      <x:c r="H120" s="8" t="str">
        <x:v>原诗邻里农忙各归、闲暇相聚；取自然往来，不要求随时来访或有酒必饮。</x:v>
      </x:c>
      <x:c r="I120" s="8" t="str">
        <x:v>2026-10-17对照所列原作／出版机构文本，繁体转简体，标点按现代习惯整理。引句以外为独立编辑；诗中天气、地点和关系不自动等于现场。此条为主动补充，未声称出自用户所供PDF。</x:v>
      </x:c>
      <x:c r="J120" s="8" t="str">
        <x:v>https://zh.wikisource.org/wiki/%E7%A7%BB%E5%B1%85%E4%BA%8C%E9%A6%96</x:v>
      </x:c>
      <x:c r="K120" s="10" t="n">
        <x:v>1</x:v>
      </x:c>
      <x:c r="L120" s="8" t="str">
        <x:v>春秋多佳日，登高赋新诗。
过门更相呼，有酒斟酌之。
农务各自归，闲暇辄相思。
相思则披衣，言笑无厌时。
此理将不胜，无为忽去兹。
衣食当须纪，力耕不吾欺。</x:v>
      </x:c>
      <x:c r="M120" s="8" t="str">
        <x:v>原作全文 · 《移居二首》其二</x:v>
      </x:c>
      <x:c r="N120" s="8" t="str">
        <x:v>原作按所列电子文本核对，繁体转简体，标点与分段作阅读整理。</x:v>
      </x:c>
    </x:row>
    <x:row r="121" ht="102" customHeight="1">
      <x:c r="A121" s="9" t="str">
        <x:v>poem-tao-talk</x:v>
      </x:c>
      <x:c r="B121" s="9" t="str">
        <x:v>陶渊明《移居二首·其二》</x:v>
      </x:c>
      <x:c r="C121" s="9" t="str">
        <x:v>古诗</x:v>
      </x:c>
      <x:c r="D121" s="9" t="str">
        <x:v>自主补充收录</x:v>
      </x:c>
      <x:c r="E121" s="9" t="str">
        <x:v>原作电子文本</x:v>
      </x:c>
      <x:c r="F121" s="9" t="str">
        <x:v>相思则披衣，言笑无厌时。</x:v>
      </x:c>
      <x:c r="G121" s="9" t="str">
        <x:v>相思则披衣，言笑无厌时。</x:v>
      </x:c>
      <x:c r="H121" s="9" t="str">
        <x:v>原诗写邻里相思即往、谈笑不厌；借相处自在，不把相思限定为恋情。</x:v>
      </x:c>
      <x:c r="I121" s="9" t="str">
        <x:v>2026-10-17对照所列原作／出版机构文本，繁体转简体，标点按现代习惯整理。引句以外为独立编辑；诗中天气、地点和关系不自动等于现场。此条为主动补充，未声称出自用户所供PDF。</x:v>
      </x:c>
      <x:c r="J121" s="9" t="str">
        <x:v>https://zh.wikisource.org/wiki/%E7%A7%BB%E5%B1%85%E4%BA%8C%E9%A6%96</x:v>
      </x:c>
      <x:c r="K121" s="11" t="n">
        <x:v>1</x:v>
      </x:c>
      <x:c r="L121" s="9" t="str">
        <x:v>春秋多佳日，登高赋新诗。
过门更相呼，有酒斟酌之。
农务各自归，闲暇辄相思。
相思则披衣，言笑无厌时。
此理将不胜，无为忽去兹。
衣食当须纪，力耕不吾欺。</x:v>
      </x:c>
      <x:c r="M121" s="9" t="str">
        <x:v>原作全文 · 《移居二首》其二</x:v>
      </x:c>
      <x:c r="N121" s="9" t="str">
        <x:v>原作按所列电子文本核对，繁体转简体，标点与分段作阅读整理。</x:v>
      </x:c>
    </x:row>
    <x:row r="122" ht="87" customHeight="1">
      <x:c r="A122" s="8" t="str">
        <x:v>poem-tao-friend</x:v>
      </x:c>
      <x:c r="B122" s="8" t="str">
        <x:v>陶渊明《饮酒二十首·其十四》</x:v>
      </x:c>
      <x:c r="C122" s="8" t="str">
        <x:v>古诗</x:v>
      </x:c>
      <x:c r="D122" s="8" t="str">
        <x:v>自主补充收录</x:v>
      </x:c>
      <x:c r="E122" s="8" t="str">
        <x:v>原作电子文本</x:v>
      </x:c>
      <x:c r="F122" s="8" t="str">
        <x:v>故人赏我趣，挈壶相与至。</x:v>
      </x:c>
      <x:c r="G122" s="8" t="str">
        <x:v>故人赏我趣，挈壶相与至。</x:v>
      </x:c>
      <x:c r="H122" s="8" t="str">
        <x:v>原诗朋友携酒而至，看重相投之趣；后文涉及醉后失序，这里只借懂得彼此的情谊。</x:v>
      </x:c>
      <x:c r="I122" s="8" t="str">
        <x:v>2026-10-17对照所列原作／出版机构文本，繁体转简体，标点按现代习惯整理。引句以外为独立编辑；诗中天气、地点和关系不自动等于现场。此条为主动补充，未声称出自用户所供PDF。</x:v>
      </x:c>
      <x:c r="J122" s="8" t="str">
        <x:v>https://zh.wikisource.org/wiki/%E9%A3%B2%E9%85%92_(%E9%99%B6%E6%B7%B5%E6%98%8E)</x:v>
      </x:c>
      <x:c r="K122" s="10" t="n">
        <x:v>1</x:v>
      </x:c>
      <x:c r="L122" s="8" t="str">
        <x:v>故人赏我趣，挈壶相与至。
班荆坐松下，数斟已复醉。
父老杂乱言，觞酌失行次。
不觉知有我，安知物为贵？
悠悠迷所留，酒中有深味。</x:v>
      </x:c>
      <x:c r="M122" s="8" t="str">
        <x:v>原作全文 · 《饮酒二十首》其十四</x:v>
      </x:c>
      <x:c r="N122" s="8" t="str">
        <x:v>原作按所列电子文本核对，繁体转简体，标点与分段作阅读整理。</x:v>
      </x:c>
    </x:row>
    <x:row r="123" ht="57" customHeight="1">
      <x:c r="A123" s="9" t="str">
        <x:v>poem-su-tea</x:v>
      </x:c>
      <x:c r="B123" s="9" t="str">
        <x:v>苏轼《浣溪沙·细雨斜风作晓寒》</x:v>
      </x:c>
      <x:c r="C123" s="9" t="str">
        <x:v>词</x:v>
      </x:c>
      <x:c r="D123" s="9" t="str">
        <x:v>自主补充收录</x:v>
      </x:c>
      <x:c r="E123" s="9" t="str">
        <x:v>《东坡词》四库全书本电子文本</x:v>
      </x:c>
      <x:c r="F123" s="9" t="str">
        <x:v>雪沫乳花浮午盏</x:v>
      </x:c>
      <x:c r="G123" s="9" t="str">
        <x:v>雪沫乳花浮午盏</x:v>
      </x:c>
      <x:c r="H123" s="9" t="str">
        <x:v>雪沫乳花是点茶时的白沫，并非下雪或牛奶；后文春盘有蓼芽／蓼茸异文，本条不引该处。</x:v>
      </x:c>
      <x:c r="I123" s="9" t="str">
        <x:v>2026-10-17对照所列原作／出版机构文本，繁体转简体，标点按现代习惯整理。引句以外为独立编辑；诗中天气、地点和关系不自动等于现场。此条为主动补充，未声称出自用户所供PDF。</x:v>
      </x:c>
      <x:c r="J123" s="9" t="str">
        <x:v>https://zh.wikisource.org/wiki/%E6%9D%B1%E5%9D%A1%E8%A9%9E_(%E5%9B%9B%E5%BA%AB%E5%85%A8%E6%9B%B8%E6%9C%AC)</x:v>
      </x:c>
      <x:c r="K123" s="11" t="n">
        <x:v>1</x:v>
      </x:c>
      <x:c r="L123" s="9" t="str">
        <x:v>元丰七年十二月二十四日，从泗州刘倩叔游南山。
细雨斜风作晓寒，淡烟疏柳媚晴滩。入淮清洛渐漫漫。
雪沫乳花浮午盏，蓼茸蒿笋试春盘。人间有味是清欢。</x:v>
      </x:c>
      <x:c r="M123" s="9" t="str">
        <x:v>原作全文</x:v>
      </x:c>
      <x:c r="N123" s="9" t="str">
        <x:v>原作按所列电子文本核对，繁体转简体，标点与分段作阅读整理。</x:v>
      </x:c>
    </x:row>
    <x:row r="124" ht="72" customHeight="1">
      <x:c r="A124" s="8" t="str">
        <x:v>poem-su-midautumn</x:v>
      </x:c>
      <x:c r="B124" s="8" t="str">
        <x:v>苏轼《阳关曲·中秋月》</x:v>
      </x:c>
      <x:c r="C124" s="8" t="str">
        <x:v>词</x:v>
      </x:c>
      <x:c r="D124" s="8" t="str">
        <x:v>《诗酒风流赋华章》中秋线索</x:v>
      </x:c>
      <x:c r="E124" s="8" t="str">
        <x:v>PDF 53—54；引句另核苏轼原词</x:v>
      </x:c>
      <x:c r="F124" s="8" t="str">
        <x:v>暮云收尽溢清寒，银汉无声转玉盘。</x:v>
      </x:c>
      <x:c r="G124" s="8" t="str">
        <x:v>暮云收尽溢清寒，银汉无声转玉盘。</x:v>
      </x:c>
      <x:c r="H124" s="8" t="str">
        <x:v>原词中秋赏月，后半有好景难常的感慨；借珍惜团圆，不把云开见月当作现场天气。</x:v>
      </x:c>
      <x:c r="I124" s="8" t="str">
        <x:v>2026-10-17对照所列原作／出版机构文本，繁体转简体，标点按现代习惯整理。引句以外为独立编辑；诗中天气、地点和关系不自动等于现场。书页是语料线索，引句另与原作核对。</x:v>
      </x:c>
      <x:c r="J124" s="8" t="str">
        <x:v>https://zh.wikisource.org/wiki/%E9%99%BD%E9%97%9C%E6%9B%B2%EF%BC%88%E4%B8%AD%E7%A7%8B%E4%BD%9C%E3%80%82%E6%9C%AC%E5%90%8D%E3%80%8A%E5%B0%8F%E7%A7%A6%E7%8E%8B%E3%80%8B%EF%BC%8C%E5%85%A5%E8%85%94%E5%8D%B3%E3%80%8A%E9%99%BD%E9%97%9C%E6%9B%B2%E3%80%8B%EF%BC%89</x:v>
      </x:c>
      <x:c r="K124" s="10" t="n">
        <x:v>2</x:v>
      </x:c>
      <x:c r="L124" s="8" t="str">
        <x:v>暮云收尽溢清寒，银汉无声转玉盘。
此生此夜不长好，明月明年何处看。</x:v>
      </x:c>
      <x:c r="M124" s="8" t="str">
        <x:v>原作全文</x:v>
      </x:c>
      <x:c r="N124" s="8" t="str">
        <x:v>原作按所列电子文本核对，繁体转简体，标点与分段作阅读整理。</x:v>
      </x:c>
    </x:row>
    <x:row r="125" ht="72" customHeight="1">
      <x:c r="A125" s="9" t="str">
        <x:v>poem-su-breeze</x:v>
      </x:c>
      <x:c r="B125" s="9" t="str">
        <x:v>苏轼《水调歌头·黄州快哉亭赠张偓佺》</x:v>
      </x:c>
      <x:c r="C125" s="9" t="str">
        <x:v>词</x:v>
      </x:c>
      <x:c r="D125" s="9" t="str">
        <x:v>自主补充收录</x:v>
      </x:c>
      <x:c r="E125" s="9" t="str">
        <x:v>原作电子文本</x:v>
      </x:c>
      <x:c r="F125" s="9" t="str">
        <x:v>一点浩然气，千里快哉风。</x:v>
      </x:c>
      <x:c r="G125" s="9" t="str">
        <x:v>一点浩然气，千里快哉风。</x:v>
      </x:c>
      <x:c r="H125" s="9" t="str">
        <x:v>原词以开阔胸襟面对境遇；用于敬意与自勉，不宣称对方德行完美或借势拍马。</x:v>
      </x:c>
      <x:c r="I125" s="9" t="str">
        <x:v>2026-10-17对照所列原作／出版机构文本，繁体转简体，标点按现代习惯整理。引句以外为独立编辑；诗中天气、地点和关系不自动等于现场。此条为主动补充，未声称出自用户所供PDF。</x:v>
      </x:c>
      <x:c r="J125" s="9" t="str">
        <x:v>https://zh.wikisource.org/wiki/%E6%B0%B4%E8%AA%BF%E6%AD%8C%E9%A0%AD_(%E8%90%BD%E6%97%A5%E7%B9%A1%E7%B0%BE%E6%8D%B2)</x:v>
      </x:c>
      <x:c r="K125" s="11" t="n">
        <x:v>1</x:v>
      </x:c>
      <x:c r="L125" s="9" t="str">
        <x:v>落日绣帘卷，亭下水连空。知君为我，新作窗户湿青红。长记平山堂上，欹枕江南烟雨，渺渺没孤鸿。认得醉翁语，山色有无中。
一千顷，都镜净，倒碧峰。忽然浪起，掀舞一叶白头翁。堪笑兰台公子，未解庄生天籁，刚道有雌雄。一点浩然气，千里快哉风。</x:v>
      </x:c>
      <x:c r="M125" s="9" t="str">
        <x:v>原作全文</x:v>
      </x:c>
      <x:c r="N125" s="9" t="str">
        <x:v>原作按所列电子文本核对，繁体转简体，标点与分段作阅读整理。</x:v>
      </x:c>
    </x:row>
    <x:row r="126" ht="72" customHeight="1">
      <x:c r="A126" s="8" t="str">
        <x:v>poem-huang-friend</x:v>
      </x:c>
      <x:c r="B126" s="8" t="str">
        <x:v>黄庭坚《寄黄几复》</x:v>
      </x:c>
      <x:c r="C126" s="8" t="str">
        <x:v>古诗</x:v>
      </x:c>
      <x:c r="D126" s="8" t="str">
        <x:v>《中国品酒诗话》</x:v>
      </x:c>
      <x:c r="E126" s="8" t="str">
        <x:v>PDF 211</x:v>
      </x:c>
      <x:c r="F126" s="8" t="str">
        <x:v>桃李春风一杯酒，江湖夜雨十年灯。</x:v>
      </x:c>
      <x:c r="G126" s="8" t="str">
        <x:v>桃李春风一杯酒，江湖夜雨十年灯。</x:v>
      </x:c>
      <x:c r="H126" s="8" t="str">
        <x:v>原诗怀念远方友人，回望相聚与多年别后；不宣称在座恰好十年未见。</x:v>
      </x:c>
      <x:c r="I126" s="8" t="str">
        <x:v>2026-10-17对照所列原作／出版机构文本，繁体转简体，标点按现代习惯整理。引句以外为独立编辑；诗中天气、地点和关系不自动等于现场。书页是语料线索，引句另与原作核对。</x:v>
      </x:c>
      <x:c r="J126" s="8" t="str">
        <x:v>https://zh.wikisource.org/wiki/%E5%AF%84%E9%BB%83%E5%B9%BE%E5%BE%A9</x:v>
      </x:c>
      <x:c r="K126" s="10" t="n">
        <x:v>1</x:v>
      </x:c>
      <x:c r="L126" s="8" t="str">
        <x:v>我居北海君南海，寄雁传书谢不能。
桃李春风一杯酒，江湖夜雨十年灯。
持家但有四立壁，治病不蕲三折肱。
想得读书头已白，隔溪猿哭瘴烟藤。</x:v>
      </x:c>
      <x:c r="M126" s="8" t="str">
        <x:v>原作全文</x:v>
      </x:c>
      <x:c r="N126" s="8" t="str">
        <x:v>原作按所列电子文本核对，繁体转简体，标点与分段作阅读整理。</x:v>
      </x:c>
    </x:row>
    <x:row r="127" ht="42" customHeight="1">
      <x:c r="A127" s="9" t="str">
        <x:v>poem-chen-night</x:v>
      </x:c>
      <x:c r="B127" s="9" t="str">
        <x:v>陈与义《临江仙·夜登小阁忆洛中旧游》</x:v>
      </x:c>
      <x:c r="C127" s="9" t="str">
        <x:v>词</x:v>
      </x:c>
      <x:c r="D127" s="9" t="str">
        <x:v>自主补充收录</x:v>
      </x:c>
      <x:c r="E127" s="9" t="str">
        <x:v>原作电子文本</x:v>
      </x:c>
      <x:c r="F127" s="9" t="str">
        <x:v>杏花疏影里，吹笛到天明。</x:v>
      </x:c>
      <x:c r="G127" s="9" t="str">
        <x:v>杏花疏影里，吹笛到天明。</x:v>
      </x:c>
      <x:c r="H127" s="9" t="str">
        <x:v>原词回忆旧游，后半有二十余年与世变之感；此处只借记忆中相聚的美，不要求熬夜尽兴。</x:v>
      </x:c>
      <x:c r="I127" s="9" t="str">
        <x:v>2026-10-17对照所列原作／出版机构文本，繁体转简体，标点按现代习惯整理。引句以外为独立编辑；诗中天气、地点和关系不自动等于现场。此条为主动补充，未声称出自用户所供PDF。</x:v>
      </x:c>
      <x:c r="J127" s="9" t="str">
        <x:v>https://zh.wikisource.org/wiki/%E8%87%A8%E6%B1%9F%E4%BB%99_(%E6%86%B6%E6%98%94%E5%8D%88%E6%A9%8B%E6%A9%8B%E4%B8%8A%E9%A3%B2)</x:v>
      </x:c>
      <x:c r="K127" s="11" t="n">
        <x:v>1</x:v>
      </x:c>
      <x:c r="L127" s="9" t="str">
        <x:v>忆昔午桥桥上饮，坐中多是豪英。长沟流月去无声。杏花疏影里，吹笛到天明。
二十余年如一梦，此身虽在堪惊。闲登小阁看新晴。古今多少事，渔唱起三更。</x:v>
      </x:c>
      <x:c r="M127" s="9" t="str">
        <x:v>原作全文</x:v>
      </x:c>
      <x:c r="N127" s="9" t="str">
        <x:v>原作按所列电子文本核对，繁体转简体，标点与分段作阅读整理。</x:v>
      </x:c>
    </x:row>
    <x:row r="128" ht="42" customHeight="1">
      <x:c r="A128" s="8" t="str">
        <x:v>poem-ou-calm</x:v>
      </x:c>
      <x:c r="B128" s="8" t="str">
        <x:v>欧阳修《浪淘沙·把酒祝东风》</x:v>
      </x:c>
      <x:c r="C128" s="8" t="str">
        <x:v>词</x:v>
      </x:c>
      <x:c r="D128" s="8" t="str">
        <x:v>自主补充收录</x:v>
      </x:c>
      <x:c r="E128" s="8" t="str">
        <x:v>原作电子文本</x:v>
      </x:c>
      <x:c r="F128" s="8" t="str">
        <x:v>把酒祝东风，且共从容。</x:v>
      </x:c>
      <x:c r="G128" s="8" t="str">
        <x:v>把酒祝东风，且共从容。</x:v>
      </x:c>
      <x:c r="H128" s="8" t="str">
        <x:v>原词春游惜别，含聚散匆匆之感；借且共从容邀请自在交谈，不断言春季天气。</x:v>
      </x:c>
      <x:c r="I128" s="8" t="str">
        <x:v>2026-10-17对照所列原作／出版机构文本，繁体转简体，标点按现代习惯整理。引句以外为独立编辑；诗中天气、地点和关系不自动等于现场。此条为主动补充，未声称出自用户所供PDF。</x:v>
      </x:c>
      <x:c r="J128" s="8" t="str">
        <x:v>https://zh.wikisource.org/wiki/%E6%B5%AA%E6%B7%98%E6%B2%99_(%E6%AD%90%E9%99%BD%E4%BF%AE)</x:v>
      </x:c>
      <x:c r="K128" s="10" t="n">
        <x:v>2</x:v>
      </x:c>
      <x:c r="L128" s="8" t="str">
        <x:v>把酒祝东风，且共从容。垂杨紫陌洛城东。总是当时携手处，游遍芳丛。
聚散苦匆匆，此恨无穷。今年花胜去年红。可惜明年花更好，知与谁同？</x:v>
      </x:c>
      <x:c r="M128" s="8" t="str">
        <x:v>原作全文</x:v>
      </x:c>
      <x:c r="N128" s="8" t="str">
        <x:v>原作按所列电子文本核对，繁体转简体，标点与分段作阅读整理。</x:v>
      </x:c>
    </x:row>
    <x:row r="129" ht="72" customHeight="1">
      <x:c r="A129" s="9" t="str">
        <x:v>poem-zhang-world</x:v>
      </x:c>
      <x:c r="B129" s="9" t="str">
        <x:v>张孝祥《念奴娇·过洞庭》</x:v>
      </x:c>
      <x:c r="C129" s="9" t="str">
        <x:v>词</x:v>
      </x:c>
      <x:c r="D129" s="9" t="str">
        <x:v>《中国品酒诗话》</x:v>
      </x:c>
      <x:c r="E129" s="9" t="str">
        <x:v>PDF 40为北斗酌酒线索；原词另核</x:v>
      </x:c>
      <x:c r="F129" s="9" t="str">
        <x:v>尽挹西江，细斟北斗，万象为宾客。</x:v>
      </x:c>
      <x:c r="G129" s="9" t="str">
        <x:v>尽挹西江，细斟北斗，万象为宾客。</x:v>
      </x:c>
      <x:c r="H129" s="9" t="str">
        <x:v>原词泛舟洞庭以江水北斗入想象，意境开阔；不是酒量比喻，不说今日场所就是洞庭。</x:v>
      </x:c>
      <x:c r="I129" s="9" t="str">
        <x:v>2026-10-17对照所列原作／出版机构文本，繁体转简体，标点按现代习惯整理。引句以外为独立编辑；诗中天气、地点和关系不自动等于现场。书页是语料线索，引句另与原作核对。</x:v>
      </x:c>
      <x:c r="J129" s="9" t="str">
        <x:v>https://zh.wikisource.org/wiki/%E5%BF%B5%E5%A5%B4%E5%AC%8C_(%E5%BC%B5%E5%AD%9D%E7%A5%A5)</x:v>
      </x:c>
      <x:c r="K129" s="11" t="n">
        <x:v>1</x:v>
      </x:c>
      <x:c r="L129" s="9" t="str">
        <x:v>洞庭青草，近中秋、更无一点风色。玉鉴琼田三万顷，著我扁舟一叶。素月分辉，明河共影，表里俱澄澈。悠然心会，妙处难与君说。
应念岭表经年，孤光自照，肝胆皆冰雪。短发萧骚襟袖冷，稳泛沧浪空阔。尽挹西江，细斟北斗，万象为宾客。扣舷独啸，不知今夕何夕。</x:v>
      </x:c>
      <x:c r="M129" s="9" t="str">
        <x:v>原作全文</x:v>
      </x:c>
      <x:c r="N129" s="9" t="str">
        <x:v>原作按所列电子文本核对，繁体转简体，标点与分段作阅读整理。</x:v>
      </x:c>
    </x:row>
    <x:row r="130" ht="42" customHeight="1">
      <x:c r="A130" s="8" t="str">
        <x:v>poem-zhang-autumn</x:v>
      </x:c>
      <x:c r="B130" s="8" t="str">
        <x:v>张孝祥《西江月·阻风山峰下》</x:v>
      </x:c>
      <x:c r="C130" s="8" t="str">
        <x:v>词</x:v>
      </x:c>
      <x:c r="D130" s="8" t="str">
        <x:v>自主补充收录</x:v>
      </x:c>
      <x:c r="E130" s="8" t="str">
        <x:v>湖南省文史研究馆公开原词</x:v>
      </x:c>
      <x:c r="F130" s="8" t="str">
        <x:v>满载一船秋色，平铺十里湖光。</x:v>
      </x:c>
      <x:c r="G130" s="8" t="str">
        <x:v>满载一船秋色，平铺十里湖光。</x:v>
      </x:c>
      <x:c r="H130" s="8" t="str">
        <x:v>原词行舟遇阻风仍赏秋景；借从容与发现好意，不把今天不顺视为已知经历；题有山峰／三峰写法。</x:v>
      </x:c>
      <x:c r="I130" s="8" t="str">
        <x:v>2026-10-17对照所列原作／出版机构文本，繁体转简体，标点按现代习惯整理。引句以外为独立编辑；诗中天气、地点和关系不自动等于现场。此条为主动补充，未声称出自用户所供PDF。</x:v>
      </x:c>
      <x:c r="J130" s="8" t="str">
        <x:v>https://css.hunan.gov.cn/tslm/hxws/wssy/201602/sxrj_52819/201607/t20160728_3107871.html</x:v>
      </x:c>
      <x:c r="K130" s="10" t="n">
        <x:v>1</x:v>
      </x:c>
      <x:c r="L130" s="8" t="str">
        <x:v>满载一船秋色，平铺十里湖光。波神留我看斜阳，放起鳞鳞细浪。
明日风回更好，今宵露宿何妨？水晶宫里奏霓裳，准拟岳阳楼上。</x:v>
      </x:c>
      <x:c r="M130" s="8" t="str">
        <x:v>原作全文</x:v>
      </x:c>
      <x:c r="N130" s="8" t="str">
        <x:v>全文另核超星所载教学文本，题作“阻风三峰下”；原先湖南文史链接未检出本词，不将全文归给该网页。</x:v>
      </x:c>
    </x:row>
    <x:row r="131" ht="72" customHeight="1">
      <x:c r="A131" s="9" t="str">
        <x:v>poem-lu-tea</x:v>
      </x:c>
      <x:c r="B131" s="9" t="str">
        <x:v>陆游《临安春雨初霁》</x:v>
      </x:c>
      <x:c r="C131" s="9" t="str">
        <x:v>古诗</x:v>
      </x:c>
      <x:c r="D131" s="9" t="str">
        <x:v>自主补充收录</x:v>
      </x:c>
      <x:c r="E131" s="9" t="str">
        <x:v>原作电子文本</x:v>
      </x:c>
      <x:c r="F131" s="9" t="str">
        <x:v>矮纸斜行闲作草，晴窗细乳戏分茶。</x:v>
      </x:c>
      <x:c r="G131" s="9" t="str">
        <x:v>矮纸斜行闲作草，晴窗细乳戏分茶。</x:v>
      </x:c>
      <x:c r="H131" s="9" t="str">
        <x:v>原诗临安客居中有烦闷，也有作草分茶的闲景；只取片刻闲趣，不说全诗是安逸生活。</x:v>
      </x:c>
      <x:c r="I131" s="9" t="str">
        <x:v>2026-10-17对照所列原作／出版机构文本，繁体转简体，标点按现代习惯整理。引句以外为独立编辑；诗中天气、地点和关系不自动等于现场。此条为主动补充，未声称出自用户所供PDF。</x:v>
      </x:c>
      <x:c r="J131" s="9" t="str">
        <x:v>https://zh.wikisource.org/wiki/%E8%87%A8%E5%AE%89%E6%98%A5%E9%9B%A8%E5%88%9D%E9%9C%BD</x:v>
      </x:c>
      <x:c r="K131" s="11" t="n">
        <x:v>1</x:v>
      </x:c>
      <x:c r="L131" s="9" t="str">
        <x:v>世味年来薄似纱，谁令骑马客京华？
小楼一夜听春雨，深巷明朝卖杏花。
矮纸斜行闲作草，晴窗细乳戏分茶。
素衣莫起风尘叹，犹及清明可到家。</x:v>
      </x:c>
      <x:c r="M131" s="9" t="str">
        <x:v>原作全文</x:v>
      </x:c>
      <x:c r="N131" s="9" t="str">
        <x:v>原作按所列电子文本核对，繁体转简体，标点与分段作阅读整理。</x:v>
      </x:c>
    </x:row>
    <x:row r="132" ht="42" customHeight="1">
      <x:c r="A132" s="8" t="str">
        <x:v>poem-cha-stars</x:v>
      </x:c>
      <x:c r="B132" s="8" t="str">
        <x:v>查慎行《舟夜书所见》</x:v>
      </x:c>
      <x:c r="C132" s="8" t="str">
        <x:v>古诗</x:v>
      </x:c>
      <x:c r="D132" s="8" t="str">
        <x:v>自主补充收录</x:v>
      </x:c>
      <x:c r="E132" s="8" t="str">
        <x:v>原作电子文本</x:v>
      </x:c>
      <x:c r="F132" s="8" t="str">
        <x:v>微微风簇浪，散作满河星。</x:v>
      </x:c>
      <x:c r="G132" s="8" t="str">
        <x:v>微微风簇浪，散作满河星。</x:v>
      </x:c>
      <x:c r="H132" s="8" t="str">
        <x:v>诗里渔灯倒影被水波散作星点，并非满河真有星；借细小善意使相聚发亮。</x:v>
      </x:c>
      <x:c r="I132" s="8" t="str">
        <x:v>2026-10-17对照所列原作／出版机构文本，繁体转简体，标点按现代习惯整理。引句以外为独立编辑；诗中天气、地点和关系不自动等于现场。此条为主动补充，未声称出自用户所供PDF。</x:v>
      </x:c>
      <x:c r="J132" s="8" t="str">
        <x:v>https://zh.wikisource.org/wiki/%E8%88%9F%E5%A4%9C%E6%9B%B8%E6%89%80%E8%A6%8B</x:v>
      </x:c>
      <x:c r="K132" s="10" t="n">
        <x:v>2</x:v>
      </x:c>
      <x:c r="L132" s="8" t="str">
        <x:v>月黑见渔灯，孤光一点萤。
微微风簇浪，散作满河星。</x:v>
      </x:c>
      <x:c r="M132" s="8" t="str">
        <x:v>原作全文</x:v>
      </x:c>
      <x:c r="N132" s="8" t="str">
        <x:v>原作按所列电子文本核对，繁体转简体，标点与分段作阅读整理。</x:v>
      </x:c>
    </x:row>
    <x:row r="133" ht="72" customHeight="1">
      <x:c r="A133" s="9" t="str">
        <x:v>poem-dai-reunion</x:v>
      </x:c>
      <x:c r="B133" s="9" t="str">
        <x:v>戴叔伦《客夜与故人偶集》</x:v>
      </x:c>
      <x:c r="C133" s="9" t="str">
        <x:v>古诗</x:v>
      </x:c>
      <x:c r="D133" s="9" t="str">
        <x:v>自主补充收录</x:v>
      </x:c>
      <x:c r="E133" s="9" t="str">
        <x:v>原作电子文本</x:v>
      </x:c>
      <x:c r="F133" s="9" t="str">
        <x:v>还作江南会，翻疑梦里逢。</x:v>
      </x:c>
      <x:c r="G133" s="9" t="str">
        <x:v>还作江南会，翻疑梦里逢。</x:v>
      </x:c>
      <x:c r="H133" s="9" t="str">
        <x:v>原诗异地偶逢故人，有惊喜也有羁旅惜别；借相见的珍惜，不编造今日巧遇或共同故乡。</x:v>
      </x:c>
      <x:c r="I133" s="9" t="str">
        <x:v>2026-10-17对照所列原作／出版机构文本，繁体转简体，标点按现代习惯整理。引句以外为独立编辑；诗中天气、地点和关系不自动等于现场。此条为主动补充，未声称出自用户所供PDF。</x:v>
      </x:c>
      <x:c r="J133" s="9" t="str">
        <x:v>https://zh.wikisource.org/wiki/%E5%AE%A2%E5%A4%9C%E8%88%87%E6%95%85%E4%BA%BA%E5%81%B6%E9%9B%86</x:v>
      </x:c>
      <x:c r="K133" s="11" t="n">
        <x:v>2</x:v>
      </x:c>
      <x:c r="L133" s="9" t="str">
        <x:v>天秋月又满，城阙夜千重。
还作江南会，翻疑梦里逢。
风枝惊暗鹊，露草覆寒蛩。
羁旅长堪醉，相留畏晓钟。</x:v>
      </x:c>
      <x:c r="M133" s="9" t="str">
        <x:v>原作全文</x:v>
      </x:c>
      <x:c r="N133" s="9" t="str">
        <x:v>原作按所列电子文本核对，繁体转简体，标点与分段作阅读整理。</x:v>
      </x:c>
    </x:row>
    <x:row r="134" ht="177" customHeight="1">
      <x:c r="A134" s="8" t="str">
        <x:v>poem-xu-light</x:v>
      </x:c>
      <x:c r="B134" s="8" t="str">
        <x:v>徐志摩《偶然》</x:v>
      </x:c>
      <x:c r="C134" s="8" t="str">
        <x:v>现代诗</x:v>
      </x:c>
      <x:c r="D134" s="8" t="str">
        <x:v>自主补充收录</x:v>
      </x:c>
      <x:c r="E134" s="8" t="str">
        <x:v>1926年作品电子文本</x:v>
      </x:c>
      <x:c r="F134" s="8" t="str">
        <x:v>在这交会时互放的光亮！</x:v>
      </x:c>
      <x:c r="G134" s="8" t="str">
        <x:v>在这交会时互放的光亮！</x:v>
      </x:c>
      <x:c r="H134" s="8" t="str">
        <x:v>原诗写短暂相逢与各自方向，既有光亮也有离散；只借相遇的善意，不转为恋爱或长久承诺。</x:v>
      </x:c>
      <x:c r="I134" s="8" t="str">
        <x:v>2026-10-17对照所列原作／出版机构文本，繁体转简体，标点按现代习惯整理。引句以外为独立编辑；诗中天气、地点和关系不自动等于现场。此条为主动补充，未声称出自用户所供PDF。</x:v>
      </x:c>
      <x:c r="J134" s="8" t="str">
        <x:v>https://zh.wikisource.org/wiki/%E5%81%B6%E7%84%B6</x:v>
      </x:c>
      <x:c r="K134" s="10" t="n">
        <x:v>3</x:v>
      </x:c>
      <x:c r="L134" s="8" t="str">
        <x:v>我是天空里的一片云，
偶尔投影在你的波心——
你不必讶异，
更无须欢喜——
在转瞬间消灭了踪影。
你我相逢在黑夜的海上，
你有你的，我有我的，方向；
你记得也好，
最好你忘掉，
在这交会时互放的光亮！</x:v>
      </x:c>
      <x:c r="M134" s="8" t="str">
        <x:v>原作全文</x:v>
      </x:c>
      <x:c r="N134" s="8" t="str">
        <x:v>原作按所列电子文本核对，繁体转简体，标点与分段作阅读整理。</x:v>
      </x:c>
    </x:row>
    <x:row r="135" ht="38" customHeight="1">
      <x:c r="A135" s="9" t="str">
        <x:v>rhythm</x:v>
      </x:c>
      <x:c r="B135" s="9" t="str">
        <x:v>把话写给耳朵听</x:v>
      </x:c>
      <x:c r="C135" s="9" t="str">
        <x:v>原记录未标注</x:v>
      </x:c>
      <x:c r="D135" s="9" t="str">
        <x:v>《祝酒辞全书》</x:v>
      </x:c>
      <x:c r="E135" s="9" t="str">
        <x:v>PDF 352—359</x:v>
      </x:c>
      <x:c r="F135" s="9" t="str"/>
      <x:c r="G135" s="9" t="str"/>
      <x:c r="H135" s="9" t="str">
        <x:v>从口头表达方法学习短句、停顿、长短相间与幽默转折。</x:v>
      </x:c>
      <x:c r="I135" s="9" t="str">
        <x:v>这里借鉴表达方法，正文是阅读后的独立整理，不是书中范文或古人原话。</x:v>
      </x:c>
      <x:c r="J135" s="9" t="str"/>
      <x:c r="K135" s="11" t="n">
        <x:v>84</x:v>
      </x:c>
      <x:c r="L135" s="9" t="str"/>
      <x:c r="M135" s="9" t="str"/>
      <x:c r="N135" s="9" t="str"/>
    </x:row>
    <x:row r="136" ht="38" customHeight="1">
      <x:c r="A136" s="8" t="str">
        <x:v>thanks</x:v>
      </x:c>
      <x:c r="B136" s="8" t="str">
        <x:v>感谢要有落点</x:v>
      </x:c>
      <x:c r="C136" s="8" t="str">
        <x:v>原记录未标注</x:v>
      </x:c>
      <x:c r="D136" s="8" t="str">
        <x:v>《祝酒辞全书》</x:v>
      </x:c>
      <x:c r="E136" s="8" t="str">
        <x:v>PDF 296—308</x:v>
      </x:c>
      <x:c r="F136" s="8" t="str"/>
      <x:c r="G136" s="8" t="str"/>
      <x:c r="H136" s="8" t="str">
        <x:v>答谢要分清谢谁、为何而谢，以及说话人的位置。</x:v>
      </x:c>
      <x:c r="I136" s="8" t="str">
        <x:v>正文独立整理；没有提供具体经历时，不代编领导指导、项目成果或多年交情。</x:v>
      </x:c>
      <x:c r="J136" s="8" t="str"/>
      <x:c r="K136" s="10" t="n">
        <x:v>31</x:v>
      </x:c>
      <x:c r="L136" s="8" t="str"/>
      <x:c r="M136" s="8" t="str"/>
      <x:c r="N136" s="8" t="str"/>
    </x:row>
    <x:row r="137" ht="72" customHeight="1">
      <x:c r="A137" s="9" t="str">
        <x:v>reunion</x:v>
      </x:c>
      <x:c r="B137" s="9" t="str">
        <x:v>相聚与再会</x:v>
      </x:c>
      <x:c r="C137" s="9" t="str">
        <x:v>原记录未标注</x:v>
      </x:c>
      <x:c r="D137" s="9" t="str">
        <x:v>《中国品酒诗话》</x:v>
      </x:c>
      <x:c r="E137" s="9" t="str">
        <x:v>PDF 104（书内84）</x:v>
      </x:c>
      <x:c r="F137" s="9" t="str">
        <x:v>把酒话桑麻</x:v>
      </x:c>
      <x:c r="G137" s="9" t="str"/>
      <x:c r="H137" s="9" t="str">
        <x:v>孟浩然《过故人庄》写拜访老友、田家款待、闲谈农事，并约定重阳再来。这里取老友相聚的从容。</x:v>
      </x:c>
      <x:c r="I137" s="9" t="str">
        <x:v>该短句已对照原页和原作电子文本。全诗另有开轩／开筵异文；祝词其余部分为独立整理。桑麻指农事，不把今天的饭局写成田庄实景。</x:v>
      </x:c>
      <x:c r="J137" s="9" t="str">
        <x:v>https://zh.wikisource.org/zh-hans/過故人莊</x:v>
      </x:c>
      <x:c r="K137" s="11" t="n">
        <x:v>9</x:v>
      </x:c>
      <x:c r="L137" s="9" t="str">
        <x:v>故人具鸡黍，邀我至田家。
绿树村边合，青山郭外斜。
开筵面场圃，把酒话桑麻。
待到重阳日，还来就菊花。</x:v>
      </x:c>
      <x:c r="M137" s="9" t="str">
        <x:v>原作全文</x:v>
      </x:c>
      <x:c r="N137" s="9" t="str">
        <x:v>“开筵”另有“开轩”异文；本全文采用所列电子文本写法。</x:v>
      </x:c>
    </x:row>
    <x:row r="138" ht="57" customHeight="1">
      <x:c r="A138" s="8" t="str">
        <x:v>luming</x:v>
      </x:c>
      <x:c r="B138" s="8" t="str">
        <x:v>《诗经·小雅·鹿鸣》</x:v>
      </x:c>
      <x:c r="C138" s="8" t="str">
        <x:v>原记录未标注</x:v>
      </x:c>
      <x:c r="D138" s="8" t="str">
        <x:v>《中国品酒诗话》</x:v>
      </x:c>
      <x:c r="E138" s="8" t="str">
        <x:v>PDF 35（书内15）</x:v>
      </x:c>
      <x:c r="F138" s="8" t="str">
        <x:v>我有嘉宾，鼓瑟吹笙。</x:v>
      </x:c>
      <x:c r="G138" s="8" t="str"/>
      <x:c r="H138" s="8" t="str">
        <x:v>原诗写宴请嘉宾，以音乐和礼物表达主人的厚意。用在主人的欢迎词中，取珍重来客之意。</x:v>
      </x:c>
      <x:c r="I138" s="8" t="str">
        <x:v>引句已对照原页与原作电子文本，转为简体字。祝词其余部分为独立整理；只在主人迎宾场景出现。</x:v>
      </x:c>
      <x:c r="J138" s="8" t="str">
        <x:v>https://zh.wikisource.org/wiki/詩經/鹿鳴</x:v>
      </x:c>
      <x:c r="K138" s="10" t="n">
        <x:v>5</x:v>
      </x:c>
      <x:c r="L138" s="8" t="str">
        <x:v>呦呦鹿鸣，食野之苹。我有嘉宾，鼓瑟吹笙。吹笙鼓簧，承筐是将。人之好我，示我周行。
呦呦鹿鸣，食野之蒿。我有嘉宾，德音孔昭。视民不恌，君子是则是效。我有旨酒，嘉宾式燕以敖。
呦呦鹿鸣，食野之芩。我有嘉宾，鼓瑟鼓琴。鼓瑟鼓琴，和乐且湛。我有旨酒，以燕乐嘉宾之心。</x:v>
      </x:c>
      <x:c r="M138" s="8" t="str">
        <x:v>原作全文</x:v>
      </x:c>
      <x:c r="N138" s="8" t="str">
        <x:v>原作按所列电子文本核对，繁体转简体，标点与分段作阅读整理。</x:v>
      </x:c>
    </x:row>
    <x:row r="139" ht="42" customHeight="1">
      <x:c r="A139" s="9" t="str">
        <x:v>autumn</x:v>
      </x:c>
      <x:c r="B139" s="9" t="str">
        <x:v>刘禹锡《秋词》其一</x:v>
      </x:c>
      <x:c r="C139" s="9" t="str">
        <x:v>原记录未标注</x:v>
      </x:c>
      <x:c r="D139" s="9" t="str">
        <x:v>《一杯酒醉尽盛唐》</x:v>
      </x:c>
      <x:c r="E139" s="9" t="str">
        <x:v>PDF 64</x:v>
      </x:c>
      <x:c r="F139" s="9" t="str">
        <x:v>我言秋日胜春朝</x:v>
      </x:c>
      <x:c r="G139" s="9" t="str"/>
      <x:c r="H139" s="9" t="str">
        <x:v>原诗反转悲秋传统，用昂扬的秋意表达开阔心境。这里借来祝愿，不推断现场一定晴空有鹤。</x:v>
      </x:c>
      <x:c r="I139" s="9" t="str">
        <x:v>引句已对照原页与原作电子文本。祝词其余部分为独立整理，适合秋日相聚。</x:v>
      </x:c>
      <x:c r="J139" s="9" t="str">
        <x:v>https://zh.wikisource.org/wiki/秋詞二首</x:v>
      </x:c>
      <x:c r="K139" s="11" t="n">
        <x:v>1</x:v>
      </x:c>
      <x:c r="L139" s="9" t="str">
        <x:v>自古逢秋悲寂寥，我言秋日胜春朝。
晴空一鹤排云上，便引诗情到碧霄。</x:v>
      </x:c>
      <x:c r="M139" s="9" t="str">
        <x:v>原作全文 · 《秋词》其一</x:v>
      </x:c>
      <x:c r="N139" s="9" t="str">
        <x:v>原作按所列电子文本核对，繁体转简体，标点与分段作阅读整理。</x:v>
      </x:c>
    </x:row>
    <x:row r="140" ht="38" customHeight="1">
      <x:c r="A140" s="8" t="str">
        <x:v>season</x:v>
      </x:c>
      <x:c r="B140" s="8" t="str">
        <x:v>借景入情，首尾照应</x:v>
      </x:c>
      <x:c r="C140" s="8" t="str">
        <x:v>原记录未标注</x:v>
      </x:c>
      <x:c r="D140" s="8" t="str">
        <x:v>《祝酒辞全书》</x:v>
      </x:c>
      <x:c r="E140" s="8" t="str">
        <x:v>PDF 355—356</x:v>
      </x:c>
      <x:c r="F140" s="8" t="str"/>
      <x:c r="G140" s="8" t="str"/>
      <x:c r="H140" s="8" t="str">
        <x:v>选择一处贴切意象，从时令说到心意，再落到祝愿。</x:v>
      </x:c>
      <x:c r="I140" s="8" t="str">
        <x:v>日号、四季及节气句为学习构思后的编辑文案，不是古诗或真实天气报告。</x:v>
      </x:c>
      <x:c r="J140" s="8" t="str"/>
      <x:c r="K140" s="10" t="n">
        <x:v>0</x:v>
      </x:c>
      <x:c r="L140" s="8" t="str"/>
      <x:c r="M140" s="8" t="str"/>
      <x:c r="N140" s="8" t="str"/>
    </x:row>
    <x:row r="141" ht="38" customHeight="1">
      <x:c r="A141" s="9" t="str">
        <x:v>farewell</x:v>
      </x:c>
      <x:c r="B141" s="9" t="str">
        <x:v>送行有惜别，也有祝愿</x:v>
      </x:c>
      <x:c r="C141" s="9" t="str">
        <x:v>原记录未标注</x:v>
      </x:c>
      <x:c r="D141" s="9" t="str">
        <x:v>《祝酒辞全书》</x:v>
      </x:c>
      <x:c r="E141" s="9" t="str">
        <x:v>PDF 233—252</x:v>
      </x:c>
      <x:c r="F141" s="9" t="str"/>
      <x:c r="G141" s="9" t="str"/>
      <x:c r="H141" s="9" t="str">
        <x:v>先表达珍重，再祝愿前程。分别处理送行事由，不替对方承诺一定成功。</x:v>
      </x:c>
      <x:c r="I141" s="9" t="str">
        <x:v>正文独立整理，默认普通朋友送行，不预设调任、退休或永不相见。</x:v>
      </x:c>
      <x:c r="J141" s="9" t="str"/>
      <x:c r="K141" s="11" t="n">
        <x:v>11</x:v>
      </x:c>
      <x:c r="L141" s="9" t="str"/>
      <x:c r="M141" s="9" t="str"/>
      <x:c r="N141" s="9" t="str"/>
    </x:row>
    <x:row r="142" ht="38" customHeight="1">
      <x:c r="A142" s="8" t="str">
        <x:v>family</x:v>
      </x:c>
      <x:c r="B142" s="8" t="str">
        <x:v>一件日常，托住一份心意</x:v>
      </x:c>
      <x:c r="C142" s="8" t="str">
        <x:v>原记录未标注</x:v>
      </x:c>
      <x:c r="D142" s="8" t="str">
        <x:v>《祝酒辞全书》</x:v>
      </x:c>
      <x:c r="E142" s="8" t="str">
        <x:v>PDF 309—319、455</x:v>
      </x:c>
      <x:c r="F142" s="8" t="str"/>
      <x:c r="G142" s="8" t="str"/>
      <x:c r="H142" s="8" t="str">
        <x:v>从共同生活的温度出发，比堆叠财富和地位更能表达亲情。</x:v>
      </x:c>
      <x:c r="I142" s="8" t="str">
        <x:v>正文独立整理，不代编家事、子女、婚姻年数或健康状况。</x:v>
      </x:c>
      <x:c r="J142" s="8" t="str"/>
      <x:c r="K142" s="10" t="n">
        <x:v>21</x:v>
      </x:c>
      <x:c r="L142" s="8" t="str"/>
      <x:c r="M142" s="8" t="str"/>
      <x:c r="N142" s="8" t="str"/>
    </x:row>
    <x:row r="143" ht="57" customHeight="1">
      <x:c r="A143" s="9" t="str">
        <x:v>lumingGuest</x:v>
      </x:c>
      <x:c r="B143" s="9" t="str">
        <x:v>《诗经·小雅·鹿鸣》</x:v>
      </x:c>
      <x:c r="C143" s="9" t="str">
        <x:v>原记录未标注</x:v>
      </x:c>
      <x:c r="D143" s="9" t="str">
        <x:v>《中国品酒诗话》</x:v>
      </x:c>
      <x:c r="E143" s="9" t="str">
        <x:v>PDF 35（书内15）</x:v>
      </x:c>
      <x:c r="F143" s="9" t="str">
        <x:v>我有嘉宾，鼓瑟吹笙。</x:v>
      </x:c>
      <x:c r="G143" s="9" t="str"/>
      <x:c r="H143" s="9" t="str">
        <x:v>原诗表达主人的厚意。此处先引用描述主人的待客心，再由来宾明确表达感谢；主人与客人的话分开。</x:v>
      </x:c>
      <x:c r="I143" s="9" t="str">
        <x:v>引句已对照原页和原作电子文本。来宾没有自称我有嘉宾，引用后说明这是主人的心意；祝词其余部分独立整理。</x:v>
      </x:c>
      <x:c r="J143" s="9" t="str">
        <x:v>https://zh.wikisource.org/wiki/詩經/鹿鳴</x:v>
      </x:c>
      <x:c r="K143" s="11" t="n">
        <x:v>3</x:v>
      </x:c>
      <x:c r="L143" s="9" t="str">
        <x:v>呦呦鹿鸣，食野之苹。我有嘉宾，鼓瑟吹笙。吹笙鼓簧，承筐是将。人之好我，示我周行。
呦呦鹿鸣，食野之蒿。我有嘉宾，德音孔昭。视民不恌，君子是则是效。我有旨酒，嘉宾式燕以敖。
呦呦鹿鸣，食野之芩。我有嘉宾，鼓瑟鼓琴。鼓瑟鼓琴，和乐且湛。我有旨酒，以燕乐嘉宾之心。</x:v>
      </x:c>
      <x:c r="M143" s="9" t="str">
        <x:v>原作全文</x:v>
      </x:c>
      <x:c r="N143" s="9" t="str">
        <x:v>原作按所列电子文本核对，繁体转简体，标点与分段作阅读整理。</x:v>
      </x:c>
    </x:row>
    <x:row r="144" ht="42" customHeight="1">
      <x:c r="A144" s="8" t="str">
        <x:v>folkSesame</x:v>
      </x:c>
      <x:c r="B144" s="8" t="str">
        <x:v>芝麻开花——节节高</x:v>
      </x:c>
      <x:c r="C144" s="8" t="str">
        <x:v>原记录未标注</x:v>
      </x:c>
      <x:c r="D144" s="8" t="str">
        <x:v>民间歇后语（补充核对）</x:v>
      </x:c>
      <x:c r="E144" s="8" t="str">
        <x:v>非所供PDF原文</x:v>
      </x:c>
      <x:c r="F144" s="8" t="str">
        <x:v>芝麻开花——节节高</x:v>
      </x:c>
      <x:c r="G144" s="8" t="str"/>
      <x:c r="H144" s="8" t="str">
        <x:v>借芝麻从下往上开花的特点，祝愿日子越来越好。</x:v>
      </x:c>
      <x:c r="I144" s="8" t="str">
        <x:v>用语与含义参照吉林省林业和草原局“芝麻”科普文章；其后祝愿为独立整理，不是古诗或书中原句。</x:v>
      </x:c>
      <x:c r="J144" s="8" t="str">
        <x:v>https://jllc.jl.gov.cn/zsdw/jlslyjsxy/jsxy_jxky/jsxy_lykp/202009/t20200915_3034524.html</x:v>
      </x:c>
      <x:c r="K144" s="10" t="n">
        <x:v>2</x:v>
      </x:c>
      <x:c r="L144" s="8" t="str">
        <x:v>芝麻开花——节节高</x:v>
      </x:c>
      <x:c r="M144" s="8" t="str">
        <x:v>民间表达 · 完整用语</x:v>
      </x:c>
      <x:c r="N144" s="8" t="str">
        <x:v>民间表达没有唯一的诗文全篇；这里保留完整用语，来历与含义见下方说明。</x:v>
      </x:c>
    </x:row>
    <x:row r="145" ht="38" customHeight="1">
      <x:c r="A145" s="9" t="str">
        <x:v>folkEight</x:v>
      </x:c>
      <x:c r="B145" s="9" t="str">
        <x:v>八仙过海——各显神通</x:v>
      </x:c>
      <x:c r="C145" s="9" t="str">
        <x:v>原记录未标注</x:v>
      </x:c>
      <x:c r="D145" s="9" t="str">
        <x:v>民间典故（补充核对）</x:v>
      </x:c>
      <x:c r="E145" s="9" t="str">
        <x:v>非所供PDF原文</x:v>
      </x:c>
      <x:c r="F145" s="9" t="str">
        <x:v>八仙过海——各显神通</x:v>
      </x:c>
      <x:c r="G145" s="9" t="str"/>
      <x:c r="H145" s="9" t="str">
        <x:v>借八仙各用所长渡海的故事，赞赏各有所长。</x:v>
      </x:c>
      <x:c r="I145" s="9" t="str">
        <x:v>典故参照故宫博物院“八仙过海”词条；正文由此独立整理，不把神话说成历史事实。</x:v>
      </x:c>
      <x:c r="J145" s="9" t="str">
        <x:v>https://www.dpm.org.cn/lemmas/244863.html</x:v>
      </x:c>
      <x:c r="K145" s="11" t="n">
        <x:v>1</x:v>
      </x:c>
      <x:c r="L145" s="9" t="str">
        <x:v>八仙过海——各显神通</x:v>
      </x:c>
      <x:c r="M145" s="9" t="str">
        <x:v>民间表达 · 完整用语</x:v>
      </x:c>
      <x:c r="N145" s="9" t="str">
        <x:v>民间表达没有唯一的诗文全篇；这里保留完整用语，来历与含义见下方说明。</x:v>
      </x:c>
    </x:row>
    <x:row r="146" ht="42" customHeight="1">
      <x:c r="A146" s="8" t="str">
        <x:v>folkDumplings</x:v>
      </x:c>
      <x:c r="B146" s="8" t="str">
        <x:v>茶壶里煮饺子——有货倒不出</x:v>
      </x:c>
      <x:c r="C146" s="8" t="str">
        <x:v>原记录未标注</x:v>
      </x:c>
      <x:c r="D146" s="8" t="str">
        <x:v>民间歇后语（补充核对）</x:v>
      </x:c>
      <x:c r="E146" s="8" t="str">
        <x:v>非所供PDF原文</x:v>
      </x:c>
      <x:c r="F146" s="8" t="str">
        <x:v>茶壶里煮饺子——有货倒不出</x:v>
      </x:c>
      <x:c r="G146" s="8" t="str"/>
      <x:c r="H146" s="8" t="str">
        <x:v>比喻心里有内容，却一时表达不出来；此处只用来自嘲突然词穷。</x:v>
      </x:c>
      <x:c r="I146" s="8" t="str">
        <x:v>用语参照农业农村部质量监管司2024年4月23日交流会记录；借鉴《祝酒辞全书》PDF352—359的短句与幽默方法，其余祝愿独立整理。</x:v>
      </x:c>
      <x:c r="J146" s="8" t="str">
        <x:v>https://jgs.moa.gov.cn/gzdt/202404/t20240423_6454207.htm</x:v>
      </x:c>
      <x:c r="K146" s="10" t="n">
        <x:v>1</x:v>
      </x:c>
      <x:c r="L146" s="8" t="str">
        <x:v>茶壶里煮饺子——有货倒不出</x:v>
      </x:c>
      <x:c r="M146" s="8" t="str">
        <x:v>民间表达 · 完整用语</x:v>
      </x:c>
      <x:c r="N146" s="8" t="str">
        <x:v>民间表达没有唯一的诗文全篇；这里保留完整用语，来历与含义见下方说明。</x:v>
      </x:c>
    </x:row>
  </x:sheetData>
  <x:pageMargins left="0.7" right="0.7" top="0.75" bottom="0.75" header="0.3" footer="0.3"/>
  <x:tableParts count="1">
    <x:tablePart xmlns:r="http://schemas.openxmlformats.org/officeDocument/2006/relationships" r:id="Re099a5a3423d489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22" hidden="0" customWidth="1"/>
    <x:col min="3" max="3" width="20" hidden="0" customWidth="1"/>
    <x:col min="4" max="4" width="85" hidden="0" customWidth="1"/>
    <x:col min="5" max="5" width="100" hidden="0" customWidth="1"/>
    <x:col min="6" max="6" width="62" hidden="0" customWidth="1"/>
  </x:cols>
  <x:sheetData>
    <x:row r="1" ht="38" customHeight="1">
      <x:c r="A1" s="7" t="str">
        <x:v>类别</x:v>
      </x:c>
      <x:c r="B1" s="7" t="str">
        <x:v>日期或名称</x:v>
      </x:c>
      <x:c r="C1" s="7" t="str">
        <x:v>祝愿主题</x:v>
      </x:c>
      <x:c r="D1" s="7" t="str">
        <x:v>中文开场全文</x:v>
      </x:c>
      <x:c r="E1" s="7" t="str">
        <x:v>英文开场全文</x:v>
      </x:c>
      <x:c r="F1" s="7" t="str">
        <x:v>适用说明</x:v>
      </x:c>
    </x:row>
    <x:row r="2" ht="38" customHeight="1">
      <x:c r="A2" s="8" t="str">
        <x:v>日期</x:v>
      </x:c>
      <x:c r="B2" s="8" t="n">
        <x:v>1</x:v>
      </x:c>
      <x:c r="C2" s="8" t="str">
        <x:v>开篇</x:v>
      </x:c>
      <x:c r="D2" s="8" t="str">
        <x:v>愿新的开始，有好意相伴。</x:v>
      </x:c>
      <x:c r="E2" s="8" t="str">
        <x:v>May this new beginning bring good company.</x:v>
      </x:c>
      <x:c r="F2" s="8" t="str">
        <x:v>每月相应日号；日期开场模式</x:v>
      </x:c>
    </x:row>
    <x:row r="3" ht="38" customHeight="1">
      <x:c r="A3" s="9" t="str">
        <x:v>日期</x:v>
      </x:c>
      <x:c r="B3" s="9" t="n">
        <x:v>2</x:v>
      </x:c>
      <x:c r="C3" s="9" t="str">
        <x:v>相伴</x:v>
      </x:c>
      <x:c r="D3" s="9" t="str">
        <x:v>愿前路有人同行，心事有人可说。</x:v>
      </x:c>
      <x:c r="E3" s="9" t="str">
        <x:v>May we find company on the road and someone willing to listen.</x:v>
      </x:c>
      <x:c r="F3" s="9" t="str">
        <x:v>每月相应日号；日期开场模式</x:v>
      </x:c>
    </x:row>
    <x:row r="4" ht="38" customHeight="1">
      <x:c r="A4" s="8" t="str">
        <x:v>日期</x:v>
      </x:c>
      <x:c r="B4" s="8" t="n">
        <x:v>3</x:v>
      </x:c>
      <x:c r="C4" s="8" t="str">
        <x:v>生长</x:v>
      </x:c>
      <x:c r="D4" s="8" t="str">
        <x:v>愿所爱之事，慢慢长成好模样。</x:v>
      </x:c>
      <x:c r="E4" s="8" t="str">
        <x:v>May the things we love have room to grow.</x:v>
      </x:c>
      <x:c r="F4" s="8" t="str">
        <x:v>每月相应日号；日期开场模式</x:v>
      </x:c>
    </x:row>
    <x:row r="5" ht="38" customHeight="1">
      <x:c r="A5" s="9" t="str">
        <x:v>日期</x:v>
      </x:c>
      <x:c r="B5" s="9" t="n">
        <x:v>4</x:v>
      </x:c>
      <x:c r="C5" s="9" t="str">
        <x:v>安稳</x:v>
      </x:c>
      <x:c r="D5" s="9" t="str">
        <x:v>愿日子有安稳，心中有从容。</x:v>
      </x:c>
      <x:c r="E5" s="9" t="str">
        <x:v>May our days be steady and our hearts at ease.</x:v>
      </x:c>
      <x:c r="F5" s="9" t="str">
        <x:v>每月相应日号；日期开场模式</x:v>
      </x:c>
    </x:row>
    <x:row r="6" ht="38" customHeight="1">
      <x:c r="A6" s="8" t="str">
        <x:v>日期</x:v>
      </x:c>
      <x:c r="B6" s="8" t="n">
        <x:v>5</x:v>
      </x:c>
      <x:c r="C6" s="8" t="str">
        <x:v>知味</x:v>
      </x:c>
      <x:c r="D6" s="8" t="str">
        <x:v>愿一席知味，一生有趣。</x:v>
      </x:c>
      <x:c r="E6" s="8" t="str">
        <x:v>To a table full of flavour and a life full of interest.</x:v>
      </x:c>
      <x:c r="F6" s="8" t="str">
        <x:v>每月相应日号；日期开场模式</x:v>
      </x:c>
    </x:row>
    <x:row r="7" ht="38" customHeight="1">
      <x:c r="A7" s="9" t="str">
        <x:v>日期</x:v>
      </x:c>
      <x:c r="B7" s="9" t="n">
        <x:v>6</x:v>
      </x:c>
      <x:c r="C7" s="9" t="str">
        <x:v>顺意</x:v>
      </x:c>
      <x:c r="D7" s="9" t="str">
        <x:v>愿所行顺意，所遇温良。</x:v>
      </x:c>
      <x:c r="E7" s="9" t="str">
        <x:v>May the road be smooth and the people we meet be kind.</x:v>
      </x:c>
      <x:c r="F7" s="9" t="str">
        <x:v>每月相应日号；日期开场模式</x:v>
      </x:c>
    </x:row>
    <x:row r="8" ht="38" customHeight="1">
      <x:c r="A8" s="8" t="str">
        <x:v>日期</x:v>
      </x:c>
      <x:c r="B8" s="8" t="n">
        <x:v>7</x:v>
      </x:c>
      <x:c r="C8" s="8" t="str">
        <x:v>相知</x:v>
      </x:c>
      <x:c r="D8" s="8" t="str">
        <x:v>愿相识渐深，相处渐暖。</x:v>
      </x:c>
      <x:c r="E8" s="8" t="str">
        <x:v>May acquaintance grow into understanding.</x:v>
      </x:c>
      <x:c r="F8" s="8" t="str">
        <x:v>每月相应日号；日期开场模式</x:v>
      </x:c>
    </x:row>
    <x:row r="9" ht="38" customHeight="1">
      <x:c r="A9" s="9" t="str">
        <x:v>日期</x:v>
      </x:c>
      <x:c r="B9" s="9" t="n">
        <x:v>8</x:v>
      </x:c>
      <x:c r="C9" s="9" t="str">
        <x:v>丰盈</x:v>
      </x:c>
      <x:c r="D9" s="9" t="str">
        <x:v>愿忙碌有所得，生活有余欢。</x:v>
      </x:c>
      <x:c r="E9" s="9" t="str">
        <x:v>May our work bear fruit and our days hold joy.</x:v>
      </x:c>
      <x:c r="F9" s="9" t="str">
        <x:v>每月相应日号；日期开场模式</x:v>
      </x:c>
    </x:row>
    <x:row r="10" ht="38" customHeight="1">
      <x:c r="A10" s="8" t="str">
        <x:v>日期</x:v>
      </x:c>
      <x:c r="B10" s="8" t="n">
        <x:v>9</x:v>
      </x:c>
      <x:c r="C10" s="8" t="str">
        <x:v>长久</x:v>
      </x:c>
      <x:c r="D10" s="8" t="str">
        <x:v>愿情谊有回响，相聚有来日。</x:v>
      </x:c>
      <x:c r="E10" s="8" t="str">
        <x:v>May friendship endure and gatherings continue.</x:v>
      </x:c>
      <x:c r="F10" s="8" t="str">
        <x:v>每月相应日号；日期开场模式</x:v>
      </x:c>
    </x:row>
    <x:row r="11" ht="38" customHeight="1">
      <x:c r="A11" s="9" t="str">
        <x:v>日期</x:v>
      </x:c>
      <x:c r="B11" s="9" t="n">
        <x:v>10</x:v>
      </x:c>
      <x:c r="C11" s="9" t="str">
        <x:v>圆融</x:v>
      </x:c>
      <x:c r="D11" s="9" t="str">
        <x:v>愿处事有分寸，待人有温度。</x:v>
      </x:c>
      <x:c r="E11" s="9" t="str">
        <x:v>May we treat people warmly and act thoughtfully.</x:v>
      </x:c>
      <x:c r="F11" s="9" t="str">
        <x:v>每月相应日号；日期开场模式</x:v>
      </x:c>
    </x:row>
    <x:row r="12" ht="38" customHeight="1">
      <x:c r="A12" s="8" t="str">
        <x:v>日期</x:v>
      </x:c>
      <x:c r="B12" s="8" t="n">
        <x:v>11</x:v>
      </x:c>
      <x:c r="C12" s="8" t="str">
        <x:v>笃行</x:v>
      </x:c>
      <x:c r="D12" s="8" t="str">
        <x:v>愿脚下有路，心中有方向。</x:v>
      </x:c>
      <x:c r="E12" s="8" t="str">
        <x:v>May we walk with purpose.</x:v>
      </x:c>
      <x:c r="F12" s="8" t="str">
        <x:v>每月相应日号；日期开场模式</x:v>
      </x:c>
    </x:row>
    <x:row r="13" ht="38" customHeight="1">
      <x:c r="A13" s="9" t="str">
        <x:v>日期</x:v>
      </x:c>
      <x:c r="B13" s="9" t="n">
        <x:v>12</x:v>
      </x:c>
      <x:c r="C13" s="9" t="str">
        <x:v>珍重</x:v>
      </x:c>
      <x:c r="D13" s="9" t="str">
        <x:v>愿奔忙时珍重自己，闲暇时享受日常。</x:v>
      </x:c>
      <x:c r="E13" s="9" t="str">
        <x:v>May we take care of ourselves and enjoy ordinary days.</x:v>
      </x:c>
      <x:c r="F13" s="9" t="str">
        <x:v>每月相应日号；日期开场模式</x:v>
      </x:c>
    </x:row>
    <x:row r="14" ht="38" customHeight="1">
      <x:c r="A14" s="8" t="str">
        <x:v>日期</x:v>
      </x:c>
      <x:c r="B14" s="8" t="n">
        <x:v>13</x:v>
      </x:c>
      <x:c r="C14" s="8" t="str">
        <x:v>有盼</x:v>
      </x:c>
      <x:c r="D14" s="8" t="str">
        <x:v>愿日子有盼，心意有着落。</x:v>
      </x:c>
      <x:c r="E14" s="8" t="str">
        <x:v>May we have something to look forward to.</x:v>
      </x:c>
      <x:c r="F14" s="8" t="str">
        <x:v>每月相应日号；日期开场模式</x:v>
      </x:c>
    </x:row>
    <x:row r="15" ht="38" customHeight="1">
      <x:c r="A15" s="9" t="str">
        <x:v>日期</x:v>
      </x:c>
      <x:c r="B15" s="9" t="n">
        <x:v>14</x:v>
      </x:c>
      <x:c r="C15" s="9" t="str">
        <x:v>相照</x:v>
      </x:c>
      <x:c r="D15" s="9" t="str">
        <x:v>愿彼此照应，各自生光。</x:v>
      </x:c>
      <x:c r="E15" s="9" t="str">
        <x:v>May we support one another and shine in our own ways.</x:v>
      </x:c>
      <x:c r="F15" s="9" t="str">
        <x:v>每月相应日号；日期开场模式</x:v>
      </x:c>
    </x:row>
    <x:row r="16" ht="38" customHeight="1">
      <x:c r="A16" s="8" t="str">
        <x:v>日期</x:v>
      </x:c>
      <x:c r="B16" s="8" t="n">
        <x:v>15</x:v>
      </x:c>
      <x:c r="C16" s="8" t="str">
        <x:v>团聚</x:v>
      </x:c>
      <x:c r="D16" s="8" t="str">
        <x:v>愿好时光可共度，好故事可慢讲。</x:v>
      </x:c>
      <x:c r="E16" s="8" t="str">
        <x:v>To time together and stories told slowly.</x:v>
      </x:c>
      <x:c r="F16" s="8" t="str">
        <x:v>每月相应日号；日期开场模式</x:v>
      </x:c>
    </x:row>
    <x:row r="17" ht="38" customHeight="1">
      <x:c r="A17" s="9" t="str">
        <x:v>日期</x:v>
      </x:c>
      <x:c r="B17" s="9" t="n">
        <x:v>16</x:v>
      </x:c>
      <x:c r="C17" s="9" t="str">
        <x:v>自在</x:v>
      </x:c>
      <x:c r="D17" s="9" t="str">
        <x:v>愿行路从容，归来自在。</x:v>
      </x:c>
      <x:c r="E17" s="9" t="str">
        <x:v>May we move forward calmly and return with peaceful hearts.</x:v>
      </x:c>
      <x:c r="F17" s="9" t="str">
        <x:v>每月相应日号；日期开场模式</x:v>
      </x:c>
    </x:row>
    <x:row r="18" ht="38" customHeight="1">
      <x:c r="A18" s="8" t="str">
        <x:v>日期</x:v>
      </x:c>
      <x:c r="B18" s="8" t="n">
        <x:v>17</x:v>
      </x:c>
      <x:c r="C18" s="8" t="str">
        <x:v>进益</x:v>
      </x:c>
      <x:c r="D18" s="8" t="str">
        <x:v>愿日有所学，也日有所乐。</x:v>
      </x:c>
      <x:c r="E18" s="8" t="str">
        <x:v>May each day bring learning and a little joy.</x:v>
      </x:c>
      <x:c r="F18" s="8" t="str">
        <x:v>每月相应日号；日期开场模式</x:v>
      </x:c>
    </x:row>
    <x:row r="19" ht="38" customHeight="1">
      <x:c r="A19" s="9" t="str">
        <x:v>日期</x:v>
      </x:c>
      <x:c r="B19" s="9" t="n">
        <x:v>18</x:v>
      </x:c>
      <x:c r="C19" s="9" t="str">
        <x:v>开阔</x:v>
      </x:c>
      <x:c r="D19" s="9" t="str">
        <x:v>愿眼界开阔，心境明朗。</x:v>
      </x:c>
      <x:c r="E19" s="9" t="str">
        <x:v>May our horizons widen and our spirits stay bright.</x:v>
      </x:c>
      <x:c r="F19" s="9" t="str">
        <x:v>每月相应日号；日期开场模式</x:v>
      </x:c>
    </x:row>
    <x:row r="20" ht="38" customHeight="1">
      <x:c r="A20" s="8" t="str">
        <x:v>日期</x:v>
      </x:c>
      <x:c r="B20" s="8" t="n">
        <x:v>19</x:v>
      </x:c>
      <x:c r="C20" s="8" t="str">
        <x:v>惜缘</x:v>
      </x:c>
      <x:c r="D20" s="8" t="str">
        <x:v>愿珍惜每一次相聚，记得每一份好意。</x:v>
      </x:c>
      <x:c r="E20" s="8" t="str">
        <x:v>May we treasure each meeting and remember each kindness.</x:v>
      </x:c>
      <x:c r="F20" s="8" t="str">
        <x:v>每月相应日号；日期开场模式</x:v>
      </x:c>
    </x:row>
    <x:row r="21" ht="38" customHeight="1">
      <x:c r="A21" s="9" t="str">
        <x:v>日期</x:v>
      </x:c>
      <x:c r="B21" s="9" t="n">
        <x:v>20</x:v>
      </x:c>
      <x:c r="C21" s="9" t="str">
        <x:v>向前</x:v>
      </x:c>
      <x:c r="D21" s="9" t="str">
        <x:v>愿眼前有欢，向前有光。</x:v>
      </x:c>
      <x:c r="E21" s="9" t="str">
        <x:v>To joy today and hope ahead.</x:v>
      </x:c>
      <x:c r="F21" s="9" t="str">
        <x:v>每月相应日号；日期开场模式</x:v>
      </x:c>
    </x:row>
    <x:row r="22" ht="38" customHeight="1">
      <x:c r="A22" s="8" t="str">
        <x:v>日期</x:v>
      </x:c>
      <x:c r="B22" s="8" t="n">
        <x:v>21</x:v>
      </x:c>
      <x:c r="C22" s="8" t="str">
        <x:v>初心</x:v>
      </x:c>
      <x:c r="D22" s="8" t="str">
        <x:v>愿忙而不乱，行而有心。</x:v>
      </x:c>
      <x:c r="E22" s="8" t="str">
        <x:v>May we stay thoughtful through busy days.</x:v>
      </x:c>
      <x:c r="F22" s="8" t="str">
        <x:v>每月相应日号；日期开场模式</x:v>
      </x:c>
    </x:row>
    <x:row r="23" ht="38" customHeight="1">
      <x:c r="A23" s="9" t="str">
        <x:v>日期</x:v>
      </x:c>
      <x:c r="B23" s="9" t="n">
        <x:v>22</x:v>
      </x:c>
      <x:c r="C23" s="9" t="str">
        <x:v>成双</x:v>
      </x:c>
      <x:c r="D23" s="9" t="str">
        <x:v>愿好事相逢，笑意相随。</x:v>
      </x:c>
      <x:c r="E23" s="9" t="str">
        <x:v>May good things meet and laughter follow.</x:v>
      </x:c>
      <x:c r="F23" s="9" t="str">
        <x:v>每月相应日号；日期开场模式</x:v>
      </x:c>
    </x:row>
    <x:row r="24" ht="38" customHeight="1">
      <x:c r="A24" s="8" t="str">
        <x:v>日期</x:v>
      </x:c>
      <x:c r="B24" s="8" t="n">
        <x:v>23</x:v>
      </x:c>
      <x:c r="C24" s="8" t="str">
        <x:v>闲趣</x:v>
      </x:c>
      <x:c r="D24" s="8" t="str">
        <x:v>愿忙里有闲，闲中有趣。</x:v>
      </x:c>
      <x:c r="E24" s="8" t="str">
        <x:v>May busy days leave room for simple pleasures.</x:v>
      </x:c>
      <x:c r="F24" s="8" t="str">
        <x:v>每月相应日号；日期开场模式</x:v>
      </x:c>
    </x:row>
    <x:row r="25" ht="38" customHeight="1">
      <x:c r="A25" s="9" t="str">
        <x:v>日期</x:v>
      </x:c>
      <x:c r="B25" s="9" t="n">
        <x:v>24</x:v>
      </x:c>
      <x:c r="C25" s="9" t="str">
        <x:v>相守</x:v>
      </x:c>
      <x:c r="D25" s="9" t="str">
        <x:v>愿牵挂常通，心意常在。</x:v>
      </x:c>
      <x:c r="E25" s="9" t="str">
        <x:v>May care and kindness stay close.</x:v>
      </x:c>
      <x:c r="F25" s="9" t="str">
        <x:v>每月相应日号；日期开场模式</x:v>
      </x:c>
    </x:row>
    <x:row r="26" ht="38" customHeight="1">
      <x:c r="A26" s="8" t="str">
        <x:v>日期</x:v>
      </x:c>
      <x:c r="B26" s="8" t="n">
        <x:v>25</x:v>
      </x:c>
      <x:c r="C26" s="8" t="str">
        <x:v>知足</x:v>
      </x:c>
      <x:c r="D26" s="8" t="str">
        <x:v>愿有所得，也懂得欣赏已有。</x:v>
      </x:c>
      <x:c r="E26" s="8" t="str">
        <x:v>May we appreciate what we have while welcoming what comes.</x:v>
      </x:c>
      <x:c r="F26" s="8" t="str">
        <x:v>每月相应日号；日期开场模式</x:v>
      </x:c>
    </x:row>
    <x:row r="27" ht="38" customHeight="1">
      <x:c r="A27" s="9" t="str">
        <x:v>日期</x:v>
      </x:c>
      <x:c r="B27" s="9" t="n">
        <x:v>26</x:v>
      </x:c>
      <x:c r="C27" s="9" t="str">
        <x:v>回甘</x:v>
      </x:c>
      <x:c r="D27" s="9" t="str">
        <x:v>愿用心有回甘，日子有余味。</x:v>
      </x:c>
      <x:c r="E27" s="9" t="str">
        <x:v>May our efforts leave a sweet aftertaste.</x:v>
      </x:c>
      <x:c r="F27" s="9" t="str">
        <x:v>每月相应日号；日期开场模式</x:v>
      </x:c>
    </x:row>
    <x:row r="28" ht="38" customHeight="1">
      <x:c r="A28" s="8" t="str">
        <x:v>日期</x:v>
      </x:c>
      <x:c r="B28" s="8" t="n">
        <x:v>27</x:v>
      </x:c>
      <x:c r="C28" s="8" t="str">
        <x:v>蓄力</x:v>
      </x:c>
      <x:c r="D28" s="8" t="str">
        <x:v>愿今日积蓄心力，来日从容前行。</x:v>
      </x:c>
      <x:c r="E28" s="8" t="str">
        <x:v>May today give us strength for tomorrow.</x:v>
      </x:c>
      <x:c r="F28" s="8" t="str">
        <x:v>每月相应日号；日期开场模式</x:v>
      </x:c>
    </x:row>
    <x:row r="29" ht="38" customHeight="1">
      <x:c r="A29" s="9" t="str">
        <x:v>日期</x:v>
      </x:c>
      <x:c r="B29" s="9" t="n">
        <x:v>28</x:v>
      </x:c>
      <x:c r="C29" s="9" t="str">
        <x:v>有成</x:v>
      </x:c>
      <x:c r="D29" s="9" t="str">
        <x:v>愿每一份认真，都慢慢结出果实。</x:v>
      </x:c>
      <x:c r="E29" s="9" t="str">
        <x:v>May patient effort gradually bear fruit.</x:v>
      </x:c>
      <x:c r="F29" s="9" t="str">
        <x:v>每月相应日号；日期开场模式</x:v>
      </x:c>
    </x:row>
    <x:row r="30" ht="38" customHeight="1">
      <x:c r="A30" s="8" t="str">
        <x:v>日期</x:v>
      </x:c>
      <x:c r="B30" s="8" t="n">
        <x:v>29</x:v>
      </x:c>
      <x:c r="C30" s="8" t="str">
        <x:v>回望</x:v>
      </x:c>
      <x:c r="D30" s="8" t="str">
        <x:v>愿回望有温暖，向前有期待。</x:v>
      </x:c>
      <x:c r="E30" s="8" t="str">
        <x:v>May we look back with warmth and forward with hope.</x:v>
      </x:c>
      <x:c r="F30" s="8" t="str">
        <x:v>每月相应日号；日期开场模式</x:v>
      </x:c>
    </x:row>
    <x:row r="31" ht="38" customHeight="1">
      <x:c r="A31" s="9" t="str">
        <x:v>日期</x:v>
      </x:c>
      <x:c r="B31" s="9" t="n">
        <x:v>30</x:v>
      </x:c>
      <x:c r="C31" s="9" t="str">
        <x:v>收获</x:v>
      </x:c>
      <x:c r="D31" s="9" t="str">
        <x:v>愿一程有收获，下一程有好音。</x:v>
      </x:c>
      <x:c r="E31" s="9" t="str">
        <x:v>To a rewarding journey and good news ahead.</x:v>
      </x:c>
      <x:c r="F31" s="9" t="str">
        <x:v>每月相应日号；日期开场模式</x:v>
      </x:c>
    </x:row>
    <x:row r="32" ht="38" customHeight="1">
      <x:c r="A32" s="8" t="str">
        <x:v>日期</x:v>
      </x:c>
      <x:c r="B32" s="8" t="n">
        <x:v>31</x:v>
      </x:c>
      <x:c r="C32" s="8" t="str">
        <x:v>续篇</x:v>
      </x:c>
      <x:c r="D32" s="8" t="str">
        <x:v>愿把这一程的欢喜，带进下一篇日常。</x:v>
      </x:c>
      <x:c r="E32" s="8" t="str">
        <x:v>May we carry this chapter’s joy into the next.</x:v>
      </x:c>
      <x:c r="F32" s="8" t="str">
        <x:v>每月相应日号；日期开场模式</x:v>
      </x:c>
    </x:row>
    <x:row r="33" ht="38" customHeight="1">
      <x:c r="A33" s="9" t="str">
        <x:v>四季</x:v>
      </x:c>
      <x:c r="B33" s="9" t="str">
        <x:v>春</x:v>
      </x:c>
      <x:c r="C33" s="9" t="str"/>
      <x:c r="D33" s="9" t="str">
        <x:v>借春意祝大家：心中有生机，脚下有新程。</x:v>
      </x:c>
      <x:c r="E33" s="9" t="str">
        <x:v>May spring bring new energy and a clear path ahead.</x:v>
      </x:c>
      <x:c r="F33" s="9" t="str">
        <x:v>按日期匹配四季；四季开场模式</x:v>
      </x:c>
    </x:row>
    <x:row r="34" ht="38" customHeight="1">
      <x:c r="A34" s="8" t="str">
        <x:v>四季</x:v>
      </x:c>
      <x:c r="B34" s="8" t="str">
        <x:v>夏</x:v>
      </x:c>
      <x:c r="C34" s="8" t="str"/>
      <x:c r="D34" s="8" t="str">
        <x:v>借夏意祝大家：做事有热忱，相处有清欢。</x:v>
      </x:c>
      <x:c r="E34" s="8" t="str">
        <x:v>May summer bring enthusiasm to our work and simple joy to our gatherings.</x:v>
      </x:c>
      <x:c r="F34" s="8" t="str">
        <x:v>按日期匹配四季；四季开场模式</x:v>
      </x:c>
    </x:row>
    <x:row r="35" ht="38" customHeight="1">
      <x:c r="A35" s="9" t="str">
        <x:v>四季</x:v>
      </x:c>
      <x:c r="B35" s="9" t="str">
        <x:v>秋</x:v>
      </x:c>
      <x:c r="C35" s="9" t="str"/>
      <x:c r="D35" s="9" t="str">
        <x:v>借秋意祝大家：来路有收获，前路有期待。</x:v>
      </x:c>
      <x:c r="E35" s="9" t="str">
        <x:v>May autumn bring appreciation for our efforts and hope for what comes next.</x:v>
      </x:c>
      <x:c r="F35" s="9" t="str">
        <x:v>按日期匹配四季；四季开场模式</x:v>
      </x:c>
    </x:row>
    <x:row r="36" ht="38" customHeight="1">
      <x:c r="A36" s="8" t="str">
        <x:v>四季</x:v>
      </x:c>
      <x:c r="B36" s="8" t="str">
        <x:v>冬</x:v>
      </x:c>
      <x:c r="C36" s="8" t="str"/>
      <x:c r="D36" s="8" t="str">
        <x:v>借冬意祝大家：珍重每一份用心，留住每一份温暖。</x:v>
      </x:c>
      <x:c r="E36" s="8" t="str">
        <x:v>May winter remind us to treasure every kindness and keep warmth close.</x:v>
      </x:c>
      <x:c r="F36" s="8" t="str">
        <x:v>按日期匹配四季；四季开场模式</x:v>
      </x:c>
    </x:row>
    <x:row r="37" ht="38" customHeight="1">
      <x:c r="A37" s="9" t="str">
        <x:v>节气</x:v>
      </x:c>
      <x:c r="B37" s="9" t="str">
        <x:v>立春</x:v>
      </x:c>
      <x:c r="C37" s="9" t="str"/>
      <x:c r="D37" s="9" t="str">
        <x:v>立春添新意，愿心有所向，行有所成。</x:v>
      </x:c>
      <x:c r="E37" s="9" t="str">
        <x:v>May this new season bring purpose to our hearts and progress to our steps.</x:v>
      </x:c>
      <x:c r="F37" s="9" t="str">
        <x:v>按北京时间所选日期计算；节气开场模式</x:v>
      </x:c>
    </x:row>
    <x:row r="38" ht="38" customHeight="1">
      <x:c r="A38" s="8" t="str">
        <x:v>节气</x:v>
      </x:c>
      <x:c r="B38" s="8" t="str">
        <x:v>雨水</x:v>
      </x:c>
      <x:c r="C38" s="8" t="str"/>
      <x:c r="D38" s="8" t="str">
        <x:v>借雨水润物之意，愿好意滋养日常，努力渐有回响。</x:v>
      </x:c>
      <x:c r="E38" s="8" t="str">
        <x:v>May kindness nourish our days and patient effort bear fruit.</x:v>
      </x:c>
      <x:c r="F38" s="8" t="str">
        <x:v>按北京时间所选日期计算；节气开场模式</x:v>
      </x:c>
    </x:row>
    <x:row r="39" ht="38" customHeight="1">
      <x:c r="A39" s="9" t="str">
        <x:v>节气</x:v>
      </x:c>
      <x:c r="B39" s="9" t="str">
        <x:v>惊蛰</x:v>
      </x:c>
      <x:c r="C39" s="9" t="str"/>
      <x:c r="D39" s="9" t="str">
        <x:v>惊蛰启新声，愿心中有生机，脚下有新程。</x:v>
      </x:c>
      <x:c r="E39" s="9" t="str">
        <x:v>May we welcome fresh energy and a new path ahead.</x:v>
      </x:c>
      <x:c r="F39" s="9" t="str">
        <x:v>按北京时间所选日期计算；节气开场模式</x:v>
      </x:c>
    </x:row>
    <x:row r="40" ht="38" customHeight="1">
      <x:c r="A40" s="8" t="str">
        <x:v>节气</x:v>
      </x:c>
      <x:c r="B40" s="8" t="str">
        <x:v>春分</x:v>
      </x:c>
      <x:c r="C40" s="8" t="str"/>
      <x:c r="D40" s="8" t="str">
        <x:v>春分取平衡之意，愿忙闲有度，得失从容。</x:v>
      </x:c>
      <x:c r="E40" s="8" t="str">
        <x:v>May we find balance in our work, our rest, and our hearts.</x:v>
      </x:c>
      <x:c r="F40" s="8" t="str">
        <x:v>按北京时间所选日期计算；节气开场模式</x:v>
      </x:c>
    </x:row>
    <x:row r="41" ht="38" customHeight="1">
      <x:c r="A41" s="9" t="str">
        <x:v>节气</x:v>
      </x:c>
      <x:c r="B41" s="9" t="str">
        <x:v>清明</x:v>
      </x:c>
      <x:c r="C41" s="9" t="str"/>
      <x:c r="D41" s="9" t="str">
        <x:v>清明时节，借这一杯珍重眼前人，愿彼此平安相伴。</x:v>
      </x:c>
      <x:c r="E41" s="9" t="str">
        <x:v>May we treasure those beside us and wish one another peace.</x:v>
      </x:c>
      <x:c r="F41" s="9" t="str">
        <x:v>按北京时间所选日期计算；节气开场模式</x:v>
      </x:c>
    </x:row>
    <x:row r="42" ht="38" customHeight="1">
      <x:c r="A42" s="8" t="str">
        <x:v>节气</x:v>
      </x:c>
      <x:c r="B42" s="8" t="str">
        <x:v>谷雨</x:v>
      </x:c>
      <x:c r="C42" s="8" t="str"/>
      <x:c r="D42" s="8" t="str">
        <x:v>谷雨寄生长之愿，愿用心耕耘，来日有成。</x:v>
      </x:c>
      <x:c r="E42" s="8" t="str">
        <x:v>May careful work today bring something good tomorrow.</x:v>
      </x:c>
      <x:c r="F42" s="8" t="str">
        <x:v>按北京时间所选日期计算；节气开场模式</x:v>
      </x:c>
    </x:row>
    <x:row r="43" ht="38" customHeight="1">
      <x:c r="A43" s="9" t="str">
        <x:v>节气</x:v>
      </x:c>
      <x:c r="B43" s="9" t="str">
        <x:v>立夏</x:v>
      </x:c>
      <x:c r="C43" s="9" t="str"/>
      <x:c r="D43" s="9" t="str">
        <x:v>立夏启新章，愿日子有兴味，心中有清欢。</x:v>
      </x:c>
      <x:c r="E43" s="9" t="str">
        <x:v>May our days be interesting and our hearts find simple joy.</x:v>
      </x:c>
      <x:c r="F43" s="9" t="str">
        <x:v>按北京时间所选日期计算；节气开场模式</x:v>
      </x:c>
    </x:row>
    <x:row r="44" ht="38" customHeight="1">
      <x:c r="A44" s="8" t="str">
        <x:v>节气</x:v>
      </x:c>
      <x:c r="B44" s="8" t="str">
        <x:v>小满</x:v>
      </x:c>
      <x:c r="C44" s="8" t="str"/>
      <x:c r="D44" s="8" t="str">
        <x:v>小满取从容之意，愿有所得，也有余地。</x:v>
      </x:c>
      <x:c r="E44" s="8" t="str">
        <x:v>May we appreciate what we have and leave room to grow.</x:v>
      </x:c>
      <x:c r="F44" s="8" t="str">
        <x:v>按北京时间所选日期计算；节气开场模式</x:v>
      </x:c>
    </x:row>
    <x:row r="45" ht="38" customHeight="1">
      <x:c r="A45" s="9" t="str">
        <x:v>节气</x:v>
      </x:c>
      <x:c r="B45" s="9" t="str">
        <x:v>芒种</x:v>
      </x:c>
      <x:c r="C45" s="9" t="str"/>
      <x:c r="D45" s="9" t="str">
        <x:v>芒种寄耕耘之意，愿忙碌有方向，用心有回响。</x:v>
      </x:c>
      <x:c r="E45" s="9" t="str">
        <x:v>May our hard work have purpose and our care find a response.</x:v>
      </x:c>
      <x:c r="F45" s="9" t="str">
        <x:v>按北京时间所选日期计算；节气开场模式</x:v>
      </x:c>
    </x:row>
    <x:row r="46" ht="38" customHeight="1">
      <x:c r="A46" s="8" t="str">
        <x:v>节气</x:v>
      </x:c>
      <x:c r="B46" s="8" t="str">
        <x:v>夏至</x:v>
      </x:c>
      <x:c r="C46" s="8" t="str"/>
      <x:c r="D46" s="8" t="str">
        <x:v>夏至寄明朗之愿，愿所行有光，所爱有回应。</x:v>
      </x:c>
      <x:c r="E46" s="8" t="str">
        <x:v>May there be light on our paths and warmth in our lives.</x:v>
      </x:c>
      <x:c r="F46" s="8" t="str">
        <x:v>按北京时间所选日期计算；节气开场模式</x:v>
      </x:c>
    </x:row>
    <x:row r="47" ht="38" customHeight="1">
      <x:c r="A47" s="9" t="str">
        <x:v>节气</x:v>
      </x:c>
      <x:c r="B47" s="9" t="str">
        <x:v>小暑</x:v>
      </x:c>
      <x:c r="C47" s="9" t="str"/>
      <x:c r="D47" s="9" t="str">
        <x:v>小暑时节，愿忙中有清闲，相聚有清欢。</x:v>
      </x:c>
      <x:c r="E47" s="9" t="str">
        <x:v>May busy days leave room for calm and time together.</x:v>
      </x:c>
      <x:c r="F47" s="9" t="str">
        <x:v>按北京时间所选日期计算；节气开场模式</x:v>
      </x:c>
    </x:row>
    <x:row r="48" ht="38" customHeight="1">
      <x:c r="A48" s="8" t="str">
        <x:v>节气</x:v>
      </x:c>
      <x:c r="B48" s="8" t="str">
        <x:v>大暑</x:v>
      </x:c>
      <x:c r="C48" s="8" t="str"/>
      <x:c r="D48" s="8" t="str">
        <x:v>大暑借清凉入心，愿做事从容，待人温和。</x:v>
      </x:c>
      <x:c r="E48" s="8" t="str">
        <x:v>May we act calmly and treat one another gently.</x:v>
      </x:c>
      <x:c r="F48" s="8" t="str">
        <x:v>按北京时间所选日期计算；节气开场模式</x:v>
      </x:c>
    </x:row>
    <x:row r="49" ht="38" customHeight="1">
      <x:c r="A49" s="9" t="str">
        <x:v>节气</x:v>
      </x:c>
      <x:c r="B49" s="9" t="str">
        <x:v>立秋</x:v>
      </x:c>
      <x:c r="C49" s="9" t="str"/>
      <x:c r="D49" s="9" t="str">
        <x:v>立秋寄收获之愿，愿来路有所得，前路有所盼。</x:v>
      </x:c>
      <x:c r="E49" s="9" t="str">
        <x:v>May we cherish what we have gained and look ahead with hope.</x:v>
      </x:c>
      <x:c r="F49" s="9" t="str">
        <x:v>按北京时间所选日期计算；节气开场模式</x:v>
      </x:c>
    </x:row>
    <x:row r="50" ht="38" customHeight="1">
      <x:c r="A50" s="8" t="str">
        <x:v>节气</x:v>
      </x:c>
      <x:c r="B50" s="8" t="str">
        <x:v>处暑</x:v>
      </x:c>
      <x:c r="C50" s="8" t="str"/>
      <x:c r="D50" s="8" t="str">
        <x:v>处暑取转换之意，愿放下疲惫，留住欢喜。</x:v>
      </x:c>
      <x:c r="E50" s="8" t="str">
        <x:v>May we put down our weariness and hold on to joy.</x:v>
      </x:c>
      <x:c r="F50" s="8" t="str">
        <x:v>按北京时间所选日期计算；节气开场模式</x:v>
      </x:c>
    </x:row>
    <x:row r="51" ht="38" customHeight="1">
      <x:c r="A51" s="9" t="str">
        <x:v>节气</x:v>
      </x:c>
      <x:c r="B51" s="9" t="str">
        <x:v>白露</x:v>
      </x:c>
      <x:c r="C51" s="9" t="str"/>
      <x:c r="D51" s="9" t="str">
        <x:v>白露寄清朗之愿，愿心有明净，情有回响。</x:v>
      </x:c>
      <x:c r="E51" s="9" t="str">
        <x:v>May our minds stay clear and our kindness find a response.</x:v>
      </x:c>
      <x:c r="F51" s="9" t="str">
        <x:v>按北京时间所选日期计算；节气开场模式</x:v>
      </x:c>
    </x:row>
    <x:row r="52" ht="38" customHeight="1">
      <x:c r="A52" s="8" t="str">
        <x:v>节气</x:v>
      </x:c>
      <x:c r="B52" s="8" t="str">
        <x:v>秋分</x:v>
      </x:c>
      <x:c r="C52" s="8" t="str"/>
      <x:c r="D52" s="8" t="str">
        <x:v>秋分取平衡之意，愿所得知足，所行从容。</x:v>
      </x:c>
      <x:c r="E52" s="8" t="str">
        <x:v>May we appreciate what we have and move forward calmly.</x:v>
      </x:c>
      <x:c r="F52" s="8" t="str">
        <x:v>按北京时间所选日期计算；节气开场模式</x:v>
      </x:c>
    </x:row>
    <x:row r="53" ht="38" customHeight="1">
      <x:c r="A53" s="9" t="str">
        <x:v>节气</x:v>
      </x:c>
      <x:c r="B53" s="9" t="str">
        <x:v>寒露</x:v>
      </x:c>
      <x:c r="C53" s="9" t="str"/>
      <x:c r="D53" s="9" t="str">
        <x:v>寒露时节，愿添一份珍重，也留一份温暖。</x:v>
      </x:c>
      <x:c r="E53" s="9" t="str">
        <x:v>May we take good care of ourselves and keep warmth in our hearts.</x:v>
      </x:c>
      <x:c r="F53" s="9" t="str">
        <x:v>按北京时间所选日期计算；节气开场模式</x:v>
      </x:c>
    </x:row>
    <x:row r="54" ht="38" customHeight="1">
      <x:c r="A54" s="8" t="str">
        <x:v>节气</x:v>
      </x:c>
      <x:c r="B54" s="8" t="str">
        <x:v>霜降</x:v>
      </x:c>
      <x:c r="C54" s="8" t="str"/>
      <x:c r="D54" s="8" t="str">
        <x:v>霜降寄珍重之意，愿生活有安稳，相处有温度。</x:v>
      </x:c>
      <x:c r="E54" s="8" t="str">
        <x:v>May our lives be steady and our company warm.</x:v>
      </x:c>
      <x:c r="F54" s="8" t="str">
        <x:v>按北京时间所选日期计算；节气开场模式</x:v>
      </x:c>
    </x:row>
    <x:row r="55" ht="38" customHeight="1">
      <x:c r="A55" s="9" t="str">
        <x:v>节气</x:v>
      </x:c>
      <x:c r="B55" s="9" t="str">
        <x:v>立冬</x:v>
      </x:c>
      <x:c r="C55" s="9" t="str"/>
      <x:c r="D55" s="9" t="str">
        <x:v>立冬寄收藏之意，愿把用心收好，把温暖留住。</x:v>
      </x:c>
      <x:c r="E55" s="9" t="str">
        <x:v>May we treasure each thoughtful effort and keep kindness close.</x:v>
      </x:c>
      <x:c r="F55" s="9" t="str">
        <x:v>按北京时间所选日期计算；节气开场模式</x:v>
      </x:c>
    </x:row>
    <x:row r="56" ht="38" customHeight="1">
      <x:c r="A56" s="8" t="str">
        <x:v>节气</x:v>
      </x:c>
      <x:c r="B56" s="8" t="str">
        <x:v>小雪</x:v>
      </x:c>
      <x:c r="C56" s="8" t="str"/>
      <x:c r="D56" s="8" t="str">
        <x:v>小雪入题，愿日子有暖，来往有情。</x:v>
      </x:c>
      <x:c r="E56" s="8" t="str">
        <x:v>May our days hold warmth and our friendships hold care.</x:v>
      </x:c>
      <x:c r="F56" s="8" t="str">
        <x:v>按北京时间所选日期计算；节气开场模式</x:v>
      </x:c>
    </x:row>
    <x:row r="57" ht="38" customHeight="1">
      <x:c r="A57" s="9" t="str">
        <x:v>节气</x:v>
      </x:c>
      <x:c r="B57" s="9" t="str">
        <x:v>大雪</x:v>
      </x:c>
      <x:c r="C57" s="9" t="str"/>
      <x:c r="D57" s="9" t="str">
        <x:v>大雪借留白之意，愿忙碌之后，有从容相聚的时光。</x:v>
      </x:c>
      <x:c r="E57" s="9" t="str">
        <x:v>May busy lives leave a little space for unhurried gatherings.</x:v>
      </x:c>
      <x:c r="F57" s="9" t="str">
        <x:v>按北京时间所选日期计算；节气开场模式</x:v>
      </x:c>
    </x:row>
    <x:row r="58" ht="38" customHeight="1">
      <x:c r="A58" s="8" t="str">
        <x:v>节气</x:v>
      </x:c>
      <x:c r="B58" s="8" t="str">
        <x:v>冬至</x:v>
      </x:c>
      <x:c r="C58" s="8" t="str"/>
      <x:c r="D58" s="8" t="str">
        <x:v>冬至寄团聚之愿，愿牵挂有回应，相聚有温暖。</x:v>
      </x:c>
      <x:c r="E58" s="8" t="str">
        <x:v>May care find a response and gatherings bring warmth.</x:v>
      </x:c>
      <x:c r="F58" s="8" t="str">
        <x:v>按北京时间所选日期计算；节气开场模式</x:v>
      </x:c>
    </x:row>
    <x:row r="59" ht="38" customHeight="1">
      <x:c r="A59" s="9" t="str">
        <x:v>节气</x:v>
      </x:c>
      <x:c r="B59" s="9" t="str">
        <x:v>小寒</x:v>
      </x:c>
      <x:c r="C59" s="9" t="str"/>
      <x:c r="D59" s="9" t="str">
        <x:v>小寒时节，愿彼此常照应，心中常有暖。</x:v>
      </x:c>
      <x:c r="E59" s="9" t="str">
        <x:v>May we look after one another and keep our hearts warm.</x:v>
      </x:c>
      <x:c r="F59" s="9" t="str">
        <x:v>按北京时间所选日期计算；节气开场模式</x:v>
      </x:c>
    </x:row>
    <x:row r="60" ht="38" customHeight="1">
      <x:c r="A60" s="8" t="str">
        <x:v>节气</x:v>
      </x:c>
      <x:c r="B60" s="8" t="str">
        <x:v>大寒</x:v>
      </x:c>
      <x:c r="C60" s="8" t="str"/>
      <x:c r="D60" s="8" t="str">
        <x:v>大寒寄守望之意，愿珍重眼前，也期待新的开始。</x:v>
      </x:c>
      <x:c r="E60" s="8" t="str">
        <x:v>May we treasure the present and welcome a new beginning.</x:v>
      </x:c>
      <x:c r="F60" s="8" t="str">
        <x:v>按北京时间所选日期计算；节气开场模式</x:v>
      </x:c>
    </x:row>
    <x:row r="61" ht="38" customHeight="1">
      <x:c r="A61" s="9" t="str">
        <x:v>农历节日</x:v>
      </x:c>
      <x:c r="B61" s="9" t="str">
        <x:v>春节</x:v>
      </x:c>
      <x:c r="C61" s="9" t="str"/>
      <x:c r="D61" s="9" t="str">
        <x:v>今天是农历新年。敬新岁，也敬相伴的人；愿新的一年平安有喜。</x:v>
      </x:c>
      <x:c r="E61" s="9" t="str">
        <x:v>To the Lunar New Year, good company, and peaceful, happy days ahead.</x:v>
      </x:c>
      <x:c r="F61" s="9" t="str">
        <x:v>对应农历正月初一；示例日期2026-02-17；排除闰月</x:v>
      </x:c>
    </x:row>
    <x:row r="62" ht="38" customHeight="1">
      <x:c r="A62" s="8" t="str">
        <x:v>农历节日</x:v>
      </x:c>
      <x:c r="B62" s="8" t="str">
        <x:v>元宵</x:v>
      </x:c>
      <x:c r="C62" s="8" t="str"/>
      <x:c r="D62" s="8" t="str">
        <x:v>今天是元宵。借一盏灯的暖意，愿家常有伴，往来有光。</x:v>
      </x:c>
      <x:c r="E62" s="8" t="str">
        <x:v>On the Lantern Festival, may our days be warm with good company.</x:v>
      </x:c>
      <x:c r="F62" s="8" t="str">
        <x:v>对应农历正月十五；示例日期2026-03-03；排除闰月</x:v>
      </x:c>
    </x:row>
    <x:row r="63" ht="38" customHeight="1">
      <x:c r="A63" s="9" t="str">
        <x:v>农历节日</x:v>
      </x:c>
      <x:c r="B63" s="9" t="str">
        <x:v>中秋</x:v>
      </x:c>
      <x:c r="C63" s="9" t="str"/>
      <x:c r="D63" s="9" t="str">
        <x:v>今天是农历八月十五。借月圆的好意，敬眼前团聚，也念远方牵挂。</x:v>
      </x:c>
      <x:c r="E63" s="9" t="str">
        <x:v>On the Mid-Autumn Festival, here’s to those around this table and those we hold close from afar.</x:v>
      </x:c>
      <x:c r="F63" s="9" t="str">
        <x:v>对应农历八月十五；示例日期2026-09-25；排除闰月</x:v>
      </x:c>
    </x:row>
    <x:row r="64" ht="38" customHeight="1">
      <x:c r="A64" s="8" t="str">
        <x:v>农历节日</x:v>
      </x:c>
      <x:c r="B64" s="8" t="str">
        <x:v>重阳</x:v>
      </x:c>
      <x:c r="C64" s="8" t="str"/>
      <x:c r="D64" s="8" t="str">
        <x:v>今天是重阳。借登高望远的心意，愿长辈安康，故友常聚。</x:v>
      </x:c>
      <x:c r="E64" s="8" t="str">
        <x:v>On the Double Ninth Festival, warm wishes to our elders and friends.</x:v>
      </x:c>
      <x:c r="F64" s="8" t="str">
        <x:v>对应农历九月初九；示例日期2026-10-18；排除闰月</x:v>
      </x:c>
    </x:row>
  </x:sheetData>
  <x:pageMargins left="0.7" right="0.7" top="0.75" bottom="0.75" header="0.3" footer="0.3"/>
  <x:tableParts count="1">
    <x:tablePart xmlns:r="http://schemas.openxmlformats.org/officeDocument/2006/relationships" r:id="R966916988ba249bf"/>
  </x:tableParts>
</x:worksheet>
</file>